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nzales\git\mc_opendss\"/>
    </mc:Choice>
  </mc:AlternateContent>
  <xr:revisionPtr revIDLastSave="0" documentId="13_ncr:1_{7BD9ECD1-CABF-4AC4-983C-514E0F0C6F70}" xr6:coauthVersionLast="47" xr6:coauthVersionMax="47" xr10:uidLastSave="{00000000-0000-0000-0000-000000000000}"/>
  <bookViews>
    <workbookView xWindow="35010" yWindow="0" windowWidth="25725" windowHeight="20985" xr2:uid="{CB6AA04A-037F-48D8-B452-7F832FAF5AD0}"/>
  </bookViews>
  <sheets>
    <sheet name="mc_vs_cyme" sheetId="1" r:id="rId1"/>
  </sheets>
  <definedNames>
    <definedName name="_xlnm._FilterDatabase" localSheetId="0" hidden="1">mc_vs_cyme!$A$1:$I$839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6" i="1" l="1"/>
  <c r="L846" i="1"/>
  <c r="M846" i="1"/>
  <c r="K846" i="1"/>
  <c r="J84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K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56" i="1"/>
  <c r="K556" i="1"/>
  <c r="L556" i="1"/>
  <c r="J557" i="1"/>
  <c r="K557" i="1"/>
  <c r="L557" i="1"/>
  <c r="J558" i="1"/>
  <c r="K558" i="1"/>
  <c r="L558" i="1"/>
  <c r="J559" i="1"/>
  <c r="K559" i="1"/>
  <c r="L559" i="1"/>
  <c r="J560" i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K565" i="1"/>
  <c r="L565" i="1"/>
  <c r="J566" i="1"/>
  <c r="K566" i="1"/>
  <c r="L566" i="1"/>
  <c r="J567" i="1"/>
  <c r="K567" i="1"/>
  <c r="L567" i="1"/>
  <c r="J568" i="1"/>
  <c r="K568" i="1"/>
  <c r="L568" i="1"/>
  <c r="J569" i="1"/>
  <c r="K569" i="1"/>
  <c r="L569" i="1"/>
  <c r="J570" i="1"/>
  <c r="K570" i="1"/>
  <c r="L570" i="1"/>
  <c r="J571" i="1"/>
  <c r="K571" i="1"/>
  <c r="L571" i="1"/>
  <c r="J572" i="1"/>
  <c r="K572" i="1"/>
  <c r="L572" i="1"/>
  <c r="J573" i="1"/>
  <c r="K573" i="1"/>
  <c r="L573" i="1"/>
  <c r="J574" i="1"/>
  <c r="K574" i="1"/>
  <c r="L574" i="1"/>
  <c r="J575" i="1"/>
  <c r="K575" i="1"/>
  <c r="L575" i="1"/>
  <c r="J576" i="1"/>
  <c r="K576" i="1"/>
  <c r="L576" i="1"/>
  <c r="J577" i="1"/>
  <c r="K577" i="1"/>
  <c r="L577" i="1"/>
  <c r="J578" i="1"/>
  <c r="K578" i="1"/>
  <c r="L578" i="1"/>
  <c r="J579" i="1"/>
  <c r="K579" i="1"/>
  <c r="L579" i="1"/>
  <c r="J580" i="1"/>
  <c r="K580" i="1"/>
  <c r="L580" i="1"/>
  <c r="J581" i="1"/>
  <c r="K581" i="1"/>
  <c r="L581" i="1"/>
  <c r="J582" i="1"/>
  <c r="K582" i="1"/>
  <c r="L582" i="1"/>
  <c r="J583" i="1"/>
  <c r="K583" i="1"/>
  <c r="L583" i="1"/>
  <c r="J584" i="1"/>
  <c r="K584" i="1"/>
  <c r="L584" i="1"/>
  <c r="J585" i="1"/>
  <c r="K585" i="1"/>
  <c r="L585" i="1"/>
  <c r="J586" i="1"/>
  <c r="K586" i="1"/>
  <c r="L586" i="1"/>
  <c r="J587" i="1"/>
  <c r="K587" i="1"/>
  <c r="L587" i="1"/>
  <c r="J588" i="1"/>
  <c r="K588" i="1"/>
  <c r="L588" i="1"/>
  <c r="J589" i="1"/>
  <c r="K589" i="1"/>
  <c r="L589" i="1"/>
  <c r="J590" i="1"/>
  <c r="K590" i="1"/>
  <c r="L590" i="1"/>
  <c r="J591" i="1"/>
  <c r="K591" i="1"/>
  <c r="L591" i="1"/>
  <c r="J592" i="1"/>
  <c r="K592" i="1"/>
  <c r="L592" i="1"/>
  <c r="J593" i="1"/>
  <c r="K593" i="1"/>
  <c r="L593" i="1"/>
  <c r="J594" i="1"/>
  <c r="K594" i="1"/>
  <c r="L594" i="1"/>
  <c r="J595" i="1"/>
  <c r="K595" i="1"/>
  <c r="L595" i="1"/>
  <c r="J596" i="1"/>
  <c r="K596" i="1"/>
  <c r="L596" i="1"/>
  <c r="J597" i="1"/>
  <c r="K597" i="1"/>
  <c r="L597" i="1"/>
  <c r="J598" i="1"/>
  <c r="K598" i="1"/>
  <c r="L598" i="1"/>
  <c r="J599" i="1"/>
  <c r="K599" i="1"/>
  <c r="L599" i="1"/>
  <c r="J600" i="1"/>
  <c r="K600" i="1"/>
  <c r="L600" i="1"/>
  <c r="J601" i="1"/>
  <c r="K601" i="1"/>
  <c r="L601" i="1"/>
  <c r="J602" i="1"/>
  <c r="K602" i="1"/>
  <c r="L602" i="1"/>
  <c r="J603" i="1"/>
  <c r="K603" i="1"/>
  <c r="L603" i="1"/>
  <c r="J604" i="1"/>
  <c r="K604" i="1"/>
  <c r="L604" i="1"/>
  <c r="J605" i="1"/>
  <c r="K605" i="1"/>
  <c r="L605" i="1"/>
  <c r="J606" i="1"/>
  <c r="K606" i="1"/>
  <c r="L606" i="1"/>
  <c r="J607" i="1"/>
  <c r="K607" i="1"/>
  <c r="L607" i="1"/>
  <c r="J608" i="1"/>
  <c r="K608" i="1"/>
  <c r="L608" i="1"/>
  <c r="J609" i="1"/>
  <c r="K609" i="1"/>
  <c r="L609" i="1"/>
  <c r="J610" i="1"/>
  <c r="K610" i="1"/>
  <c r="L610" i="1"/>
  <c r="J611" i="1"/>
  <c r="K611" i="1"/>
  <c r="L611" i="1"/>
  <c r="J612" i="1"/>
  <c r="K612" i="1"/>
  <c r="L612" i="1"/>
  <c r="J613" i="1"/>
  <c r="K613" i="1"/>
  <c r="L613" i="1"/>
  <c r="J614" i="1"/>
  <c r="K614" i="1"/>
  <c r="L614" i="1"/>
  <c r="J615" i="1"/>
  <c r="K615" i="1"/>
  <c r="L615" i="1"/>
  <c r="J616" i="1"/>
  <c r="K616" i="1"/>
  <c r="L616" i="1"/>
  <c r="J617" i="1"/>
  <c r="K617" i="1"/>
  <c r="L617" i="1"/>
  <c r="J618" i="1"/>
  <c r="K618" i="1"/>
  <c r="L618" i="1"/>
  <c r="J619" i="1"/>
  <c r="K619" i="1"/>
  <c r="L619" i="1"/>
  <c r="J620" i="1"/>
  <c r="K620" i="1"/>
  <c r="L620" i="1"/>
  <c r="J621" i="1"/>
  <c r="K621" i="1"/>
  <c r="L621" i="1"/>
  <c r="J622" i="1"/>
  <c r="K622" i="1"/>
  <c r="L622" i="1"/>
  <c r="J623" i="1"/>
  <c r="K623" i="1"/>
  <c r="L623" i="1"/>
  <c r="J624" i="1"/>
  <c r="K624" i="1"/>
  <c r="L624" i="1"/>
  <c r="J625" i="1"/>
  <c r="K625" i="1"/>
  <c r="L625" i="1"/>
  <c r="J626" i="1"/>
  <c r="K626" i="1"/>
  <c r="L626" i="1"/>
  <c r="J627" i="1"/>
  <c r="K627" i="1"/>
  <c r="L627" i="1"/>
  <c r="J628" i="1"/>
  <c r="K628" i="1"/>
  <c r="L628" i="1"/>
  <c r="J629" i="1"/>
  <c r="K629" i="1"/>
  <c r="L629" i="1"/>
  <c r="J630" i="1"/>
  <c r="K630" i="1"/>
  <c r="L630" i="1"/>
  <c r="J631" i="1"/>
  <c r="K631" i="1"/>
  <c r="L631" i="1"/>
  <c r="J632" i="1"/>
  <c r="K632" i="1"/>
  <c r="L632" i="1"/>
  <c r="J633" i="1"/>
  <c r="K633" i="1"/>
  <c r="L633" i="1"/>
  <c r="J634" i="1"/>
  <c r="K634" i="1"/>
  <c r="L634" i="1"/>
  <c r="J635" i="1"/>
  <c r="K635" i="1"/>
  <c r="L635" i="1"/>
  <c r="J636" i="1"/>
  <c r="K636" i="1"/>
  <c r="L636" i="1"/>
  <c r="J637" i="1"/>
  <c r="K637" i="1"/>
  <c r="L637" i="1"/>
  <c r="J638" i="1"/>
  <c r="K638" i="1"/>
  <c r="L638" i="1"/>
  <c r="J639" i="1"/>
  <c r="K639" i="1"/>
  <c r="L639" i="1"/>
  <c r="J640" i="1"/>
  <c r="K640" i="1"/>
  <c r="L640" i="1"/>
  <c r="J641" i="1"/>
  <c r="K641" i="1"/>
  <c r="L641" i="1"/>
  <c r="J642" i="1"/>
  <c r="K642" i="1"/>
  <c r="L642" i="1"/>
  <c r="J643" i="1"/>
  <c r="K643" i="1"/>
  <c r="L643" i="1"/>
  <c r="J644" i="1"/>
  <c r="K644" i="1"/>
  <c r="L644" i="1"/>
  <c r="J645" i="1"/>
  <c r="K645" i="1"/>
  <c r="L645" i="1"/>
  <c r="J646" i="1"/>
  <c r="K646" i="1"/>
  <c r="L646" i="1"/>
  <c r="J647" i="1"/>
  <c r="K647" i="1"/>
  <c r="L647" i="1"/>
  <c r="J648" i="1"/>
  <c r="K648" i="1"/>
  <c r="L648" i="1"/>
  <c r="J649" i="1"/>
  <c r="K649" i="1"/>
  <c r="L649" i="1"/>
  <c r="J650" i="1"/>
  <c r="K650" i="1"/>
  <c r="L650" i="1"/>
  <c r="J651" i="1"/>
  <c r="K651" i="1"/>
  <c r="L651" i="1"/>
  <c r="J652" i="1"/>
  <c r="K652" i="1"/>
  <c r="L652" i="1"/>
  <c r="J653" i="1"/>
  <c r="K653" i="1"/>
  <c r="L653" i="1"/>
  <c r="J654" i="1"/>
  <c r="K654" i="1"/>
  <c r="L654" i="1"/>
  <c r="J655" i="1"/>
  <c r="K655" i="1"/>
  <c r="L655" i="1"/>
  <c r="J656" i="1"/>
  <c r="K656" i="1"/>
  <c r="L656" i="1"/>
  <c r="J657" i="1"/>
  <c r="K657" i="1"/>
  <c r="L657" i="1"/>
  <c r="J658" i="1"/>
  <c r="K658" i="1"/>
  <c r="L658" i="1"/>
  <c r="J659" i="1"/>
  <c r="K659" i="1"/>
  <c r="L659" i="1"/>
  <c r="J660" i="1"/>
  <c r="K660" i="1"/>
  <c r="L660" i="1"/>
  <c r="J661" i="1"/>
  <c r="K661" i="1"/>
  <c r="L661" i="1"/>
  <c r="J662" i="1"/>
  <c r="K662" i="1"/>
  <c r="L662" i="1"/>
  <c r="J663" i="1"/>
  <c r="K663" i="1"/>
  <c r="L663" i="1"/>
  <c r="J664" i="1"/>
  <c r="K664" i="1"/>
  <c r="L664" i="1"/>
  <c r="J665" i="1"/>
  <c r="K665" i="1"/>
  <c r="L665" i="1"/>
  <c r="J666" i="1"/>
  <c r="K666" i="1"/>
  <c r="L666" i="1"/>
  <c r="J667" i="1"/>
  <c r="K667" i="1"/>
  <c r="L667" i="1"/>
  <c r="J668" i="1"/>
  <c r="K668" i="1"/>
  <c r="L668" i="1"/>
  <c r="J669" i="1"/>
  <c r="K669" i="1"/>
  <c r="L669" i="1"/>
  <c r="J670" i="1"/>
  <c r="K670" i="1"/>
  <c r="L670" i="1"/>
  <c r="J671" i="1"/>
  <c r="K671" i="1"/>
  <c r="L671" i="1"/>
  <c r="J672" i="1"/>
  <c r="K672" i="1"/>
  <c r="L672" i="1"/>
  <c r="J673" i="1"/>
  <c r="K673" i="1"/>
  <c r="L673" i="1"/>
  <c r="J674" i="1"/>
  <c r="K674" i="1"/>
  <c r="L674" i="1"/>
  <c r="J675" i="1"/>
  <c r="K675" i="1"/>
  <c r="L675" i="1"/>
  <c r="J676" i="1"/>
  <c r="K676" i="1"/>
  <c r="L676" i="1"/>
  <c r="J677" i="1"/>
  <c r="K677" i="1"/>
  <c r="L677" i="1"/>
  <c r="J678" i="1"/>
  <c r="K678" i="1"/>
  <c r="L678" i="1"/>
  <c r="J679" i="1"/>
  <c r="K679" i="1"/>
  <c r="L679" i="1"/>
  <c r="J680" i="1"/>
  <c r="K680" i="1"/>
  <c r="L680" i="1"/>
  <c r="J681" i="1"/>
  <c r="K681" i="1"/>
  <c r="L681" i="1"/>
  <c r="J682" i="1"/>
  <c r="K682" i="1"/>
  <c r="L682" i="1"/>
  <c r="J683" i="1"/>
  <c r="K683" i="1"/>
  <c r="L683" i="1"/>
  <c r="J684" i="1"/>
  <c r="K684" i="1"/>
  <c r="L684" i="1"/>
  <c r="J685" i="1"/>
  <c r="K685" i="1"/>
  <c r="L685" i="1"/>
  <c r="J686" i="1"/>
  <c r="K686" i="1"/>
  <c r="L686" i="1"/>
  <c r="J687" i="1"/>
  <c r="K687" i="1"/>
  <c r="L687" i="1"/>
  <c r="J688" i="1"/>
  <c r="K688" i="1"/>
  <c r="L688" i="1"/>
  <c r="J689" i="1"/>
  <c r="K689" i="1"/>
  <c r="L689" i="1"/>
  <c r="J690" i="1"/>
  <c r="K690" i="1"/>
  <c r="L690" i="1"/>
  <c r="J691" i="1"/>
  <c r="K691" i="1"/>
  <c r="L691" i="1"/>
  <c r="J692" i="1"/>
  <c r="K692" i="1"/>
  <c r="L692" i="1"/>
  <c r="J693" i="1"/>
  <c r="K693" i="1"/>
  <c r="L693" i="1"/>
  <c r="J694" i="1"/>
  <c r="K694" i="1"/>
  <c r="L694" i="1"/>
  <c r="J695" i="1"/>
  <c r="K695" i="1"/>
  <c r="L695" i="1"/>
  <c r="J696" i="1"/>
  <c r="K696" i="1"/>
  <c r="L696" i="1"/>
  <c r="J697" i="1"/>
  <c r="K697" i="1"/>
  <c r="L697" i="1"/>
  <c r="J698" i="1"/>
  <c r="K698" i="1"/>
  <c r="L698" i="1"/>
  <c r="J699" i="1"/>
  <c r="K699" i="1"/>
  <c r="L699" i="1"/>
  <c r="J700" i="1"/>
  <c r="K700" i="1"/>
  <c r="L700" i="1"/>
  <c r="J701" i="1"/>
  <c r="K701" i="1"/>
  <c r="L701" i="1"/>
  <c r="J702" i="1"/>
  <c r="K702" i="1"/>
  <c r="L702" i="1"/>
  <c r="J703" i="1"/>
  <c r="K703" i="1"/>
  <c r="L703" i="1"/>
  <c r="J704" i="1"/>
  <c r="K704" i="1"/>
  <c r="L704" i="1"/>
  <c r="J705" i="1"/>
  <c r="K705" i="1"/>
  <c r="L705" i="1"/>
  <c r="J706" i="1"/>
  <c r="K706" i="1"/>
  <c r="L706" i="1"/>
  <c r="J707" i="1"/>
  <c r="K707" i="1"/>
  <c r="L707" i="1"/>
  <c r="J708" i="1"/>
  <c r="K708" i="1"/>
  <c r="L708" i="1"/>
  <c r="J709" i="1"/>
  <c r="K709" i="1"/>
  <c r="L709" i="1"/>
  <c r="J710" i="1"/>
  <c r="K710" i="1"/>
  <c r="L710" i="1"/>
  <c r="J711" i="1"/>
  <c r="K711" i="1"/>
  <c r="L711" i="1"/>
  <c r="J712" i="1"/>
  <c r="K712" i="1"/>
  <c r="L712" i="1"/>
  <c r="J713" i="1"/>
  <c r="K713" i="1"/>
  <c r="L713" i="1"/>
  <c r="J714" i="1"/>
  <c r="K714" i="1"/>
  <c r="L714" i="1"/>
  <c r="J715" i="1"/>
  <c r="K715" i="1"/>
  <c r="L715" i="1"/>
  <c r="J716" i="1"/>
  <c r="K716" i="1"/>
  <c r="L716" i="1"/>
  <c r="J717" i="1"/>
  <c r="K717" i="1"/>
  <c r="L717" i="1"/>
  <c r="J718" i="1"/>
  <c r="K718" i="1"/>
  <c r="L718" i="1"/>
  <c r="J719" i="1"/>
  <c r="K719" i="1"/>
  <c r="L719" i="1"/>
  <c r="J720" i="1"/>
  <c r="K720" i="1"/>
  <c r="L720" i="1"/>
  <c r="J721" i="1"/>
  <c r="K721" i="1"/>
  <c r="L721" i="1"/>
  <c r="J722" i="1"/>
  <c r="K722" i="1"/>
  <c r="L722" i="1"/>
  <c r="J723" i="1"/>
  <c r="K723" i="1"/>
  <c r="L723" i="1"/>
  <c r="J724" i="1"/>
  <c r="K724" i="1"/>
  <c r="L724" i="1"/>
  <c r="J725" i="1"/>
  <c r="K725" i="1"/>
  <c r="L725" i="1"/>
  <c r="J726" i="1"/>
  <c r="K726" i="1"/>
  <c r="L726" i="1"/>
  <c r="J727" i="1"/>
  <c r="K727" i="1"/>
  <c r="L727" i="1"/>
  <c r="J728" i="1"/>
  <c r="K728" i="1"/>
  <c r="L728" i="1"/>
  <c r="J729" i="1"/>
  <c r="K729" i="1"/>
  <c r="L729" i="1"/>
  <c r="J730" i="1"/>
  <c r="K730" i="1"/>
  <c r="L730" i="1"/>
  <c r="J731" i="1"/>
  <c r="K731" i="1"/>
  <c r="L731" i="1"/>
  <c r="J732" i="1"/>
  <c r="K732" i="1"/>
  <c r="L732" i="1"/>
  <c r="J733" i="1"/>
  <c r="K733" i="1"/>
  <c r="L733" i="1"/>
  <c r="J734" i="1"/>
  <c r="K734" i="1"/>
  <c r="L734" i="1"/>
  <c r="J735" i="1"/>
  <c r="K735" i="1"/>
  <c r="L735" i="1"/>
  <c r="J736" i="1"/>
  <c r="K736" i="1"/>
  <c r="L736" i="1"/>
  <c r="J737" i="1"/>
  <c r="K737" i="1"/>
  <c r="L737" i="1"/>
  <c r="J738" i="1"/>
  <c r="K738" i="1"/>
  <c r="L738" i="1"/>
  <c r="J739" i="1"/>
  <c r="K739" i="1"/>
  <c r="L739" i="1"/>
  <c r="J740" i="1"/>
  <c r="K740" i="1"/>
  <c r="L740" i="1"/>
  <c r="J741" i="1"/>
  <c r="K741" i="1"/>
  <c r="L741" i="1"/>
  <c r="J742" i="1"/>
  <c r="K742" i="1"/>
  <c r="L742" i="1"/>
  <c r="J743" i="1"/>
  <c r="K743" i="1"/>
  <c r="L743" i="1"/>
  <c r="J744" i="1"/>
  <c r="K744" i="1"/>
  <c r="L744" i="1"/>
  <c r="J745" i="1"/>
  <c r="K745" i="1"/>
  <c r="L745" i="1"/>
  <c r="J746" i="1"/>
  <c r="K746" i="1"/>
  <c r="L746" i="1"/>
  <c r="J747" i="1"/>
  <c r="K747" i="1"/>
  <c r="L747" i="1"/>
  <c r="J748" i="1"/>
  <c r="K748" i="1"/>
  <c r="L748" i="1"/>
  <c r="J749" i="1"/>
  <c r="K749" i="1"/>
  <c r="L749" i="1"/>
  <c r="J750" i="1"/>
  <c r="K750" i="1"/>
  <c r="L750" i="1"/>
  <c r="J751" i="1"/>
  <c r="K751" i="1"/>
  <c r="L751" i="1"/>
  <c r="J752" i="1"/>
  <c r="K752" i="1"/>
  <c r="L752" i="1"/>
  <c r="J753" i="1"/>
  <c r="K753" i="1"/>
  <c r="L753" i="1"/>
  <c r="J754" i="1"/>
  <c r="K754" i="1"/>
  <c r="L754" i="1"/>
  <c r="J755" i="1"/>
  <c r="K755" i="1"/>
  <c r="L755" i="1"/>
  <c r="J756" i="1"/>
  <c r="K756" i="1"/>
  <c r="L756" i="1"/>
  <c r="J757" i="1"/>
  <c r="K757" i="1"/>
  <c r="L757" i="1"/>
  <c r="J758" i="1"/>
  <c r="K758" i="1"/>
  <c r="L758" i="1"/>
  <c r="J759" i="1"/>
  <c r="K759" i="1"/>
  <c r="L759" i="1"/>
  <c r="J760" i="1"/>
  <c r="K760" i="1"/>
  <c r="L760" i="1"/>
  <c r="J761" i="1"/>
  <c r="K761" i="1"/>
  <c r="L761" i="1"/>
  <c r="J762" i="1"/>
  <c r="K762" i="1"/>
  <c r="L762" i="1"/>
  <c r="J763" i="1"/>
  <c r="K763" i="1"/>
  <c r="L763" i="1"/>
  <c r="J764" i="1"/>
  <c r="K764" i="1"/>
  <c r="L764" i="1"/>
  <c r="J765" i="1"/>
  <c r="K765" i="1"/>
  <c r="L765" i="1"/>
  <c r="J766" i="1"/>
  <c r="K766" i="1"/>
  <c r="L766" i="1"/>
  <c r="J767" i="1"/>
  <c r="K767" i="1"/>
  <c r="L767" i="1"/>
  <c r="J768" i="1"/>
  <c r="K768" i="1"/>
  <c r="L768" i="1"/>
  <c r="J769" i="1"/>
  <c r="K769" i="1"/>
  <c r="L769" i="1"/>
  <c r="J770" i="1"/>
  <c r="K770" i="1"/>
  <c r="L770" i="1"/>
  <c r="J771" i="1"/>
  <c r="K771" i="1"/>
  <c r="L771" i="1"/>
  <c r="J772" i="1"/>
  <c r="K772" i="1"/>
  <c r="L772" i="1"/>
  <c r="J773" i="1"/>
  <c r="K773" i="1"/>
  <c r="L773" i="1"/>
  <c r="J774" i="1"/>
  <c r="K774" i="1"/>
  <c r="L774" i="1"/>
  <c r="J775" i="1"/>
  <c r="K775" i="1"/>
  <c r="L775" i="1"/>
  <c r="J776" i="1"/>
  <c r="K776" i="1"/>
  <c r="L776" i="1"/>
  <c r="J777" i="1"/>
  <c r="K777" i="1"/>
  <c r="L777" i="1"/>
  <c r="J778" i="1"/>
  <c r="K778" i="1"/>
  <c r="L778" i="1"/>
  <c r="J779" i="1"/>
  <c r="K779" i="1"/>
  <c r="L779" i="1"/>
  <c r="J780" i="1"/>
  <c r="K780" i="1"/>
  <c r="L780" i="1"/>
  <c r="J781" i="1"/>
  <c r="K781" i="1"/>
  <c r="L781" i="1"/>
  <c r="J782" i="1"/>
  <c r="K782" i="1"/>
  <c r="L782" i="1"/>
  <c r="J783" i="1"/>
  <c r="K783" i="1"/>
  <c r="L783" i="1"/>
  <c r="J784" i="1"/>
  <c r="K784" i="1"/>
  <c r="L784" i="1"/>
  <c r="J785" i="1"/>
  <c r="K785" i="1"/>
  <c r="L785" i="1"/>
  <c r="J786" i="1"/>
  <c r="K786" i="1"/>
  <c r="L786" i="1"/>
  <c r="J787" i="1"/>
  <c r="K787" i="1"/>
  <c r="L787" i="1"/>
  <c r="J788" i="1"/>
  <c r="K788" i="1"/>
  <c r="L788" i="1"/>
  <c r="J789" i="1"/>
  <c r="K789" i="1"/>
  <c r="L789" i="1"/>
  <c r="J790" i="1"/>
  <c r="K790" i="1"/>
  <c r="L790" i="1"/>
  <c r="J791" i="1"/>
  <c r="K791" i="1"/>
  <c r="L791" i="1"/>
  <c r="J792" i="1"/>
  <c r="K792" i="1"/>
  <c r="L792" i="1"/>
  <c r="J793" i="1"/>
  <c r="K793" i="1"/>
  <c r="L793" i="1"/>
  <c r="J794" i="1"/>
  <c r="K794" i="1"/>
  <c r="L794" i="1"/>
  <c r="J795" i="1"/>
  <c r="K795" i="1"/>
  <c r="L795" i="1"/>
  <c r="J796" i="1"/>
  <c r="K796" i="1"/>
  <c r="L796" i="1"/>
  <c r="J797" i="1"/>
  <c r="K797" i="1"/>
  <c r="L797" i="1"/>
  <c r="J798" i="1"/>
  <c r="K798" i="1"/>
  <c r="L798" i="1"/>
  <c r="J799" i="1"/>
  <c r="K799" i="1"/>
  <c r="L799" i="1"/>
  <c r="J800" i="1"/>
  <c r="K800" i="1"/>
  <c r="L800" i="1"/>
  <c r="J801" i="1"/>
  <c r="K801" i="1"/>
  <c r="L801" i="1"/>
  <c r="J802" i="1"/>
  <c r="K802" i="1"/>
  <c r="L802" i="1"/>
  <c r="J803" i="1"/>
  <c r="K803" i="1"/>
  <c r="L803" i="1"/>
  <c r="J804" i="1"/>
  <c r="K804" i="1"/>
  <c r="L804" i="1"/>
  <c r="J805" i="1"/>
  <c r="K805" i="1"/>
  <c r="L805" i="1"/>
  <c r="J806" i="1"/>
  <c r="K806" i="1"/>
  <c r="L806" i="1"/>
  <c r="J807" i="1"/>
  <c r="K807" i="1"/>
  <c r="L807" i="1"/>
  <c r="J808" i="1"/>
  <c r="K808" i="1"/>
  <c r="L808" i="1"/>
  <c r="J809" i="1"/>
  <c r="K809" i="1"/>
  <c r="L809" i="1"/>
  <c r="J810" i="1"/>
  <c r="K810" i="1"/>
  <c r="L810" i="1"/>
  <c r="J811" i="1"/>
  <c r="K811" i="1"/>
  <c r="L811" i="1"/>
  <c r="J812" i="1"/>
  <c r="K812" i="1"/>
  <c r="L812" i="1"/>
  <c r="J813" i="1"/>
  <c r="K813" i="1"/>
  <c r="L813" i="1"/>
  <c r="J814" i="1"/>
  <c r="K814" i="1"/>
  <c r="L814" i="1"/>
  <c r="J815" i="1"/>
  <c r="K815" i="1"/>
  <c r="L815" i="1"/>
  <c r="J816" i="1"/>
  <c r="K816" i="1"/>
  <c r="L816" i="1"/>
  <c r="J817" i="1"/>
  <c r="K817" i="1"/>
  <c r="L817" i="1"/>
  <c r="J818" i="1"/>
  <c r="K818" i="1"/>
  <c r="L818" i="1"/>
  <c r="J819" i="1"/>
  <c r="K819" i="1"/>
  <c r="L819" i="1"/>
  <c r="J820" i="1"/>
  <c r="K820" i="1"/>
  <c r="L820" i="1"/>
  <c r="J821" i="1"/>
  <c r="K821" i="1"/>
  <c r="L821" i="1"/>
  <c r="J822" i="1"/>
  <c r="K822" i="1"/>
  <c r="L822" i="1"/>
  <c r="J823" i="1"/>
  <c r="K823" i="1"/>
  <c r="L823" i="1"/>
  <c r="J824" i="1"/>
  <c r="K824" i="1"/>
  <c r="L824" i="1"/>
  <c r="J825" i="1"/>
  <c r="K825" i="1"/>
  <c r="L825" i="1"/>
  <c r="J826" i="1"/>
  <c r="K826" i="1"/>
  <c r="L826" i="1"/>
  <c r="J827" i="1"/>
  <c r="K827" i="1"/>
  <c r="L827" i="1"/>
  <c r="J828" i="1"/>
  <c r="K828" i="1"/>
  <c r="L828" i="1"/>
  <c r="J829" i="1"/>
  <c r="K829" i="1"/>
  <c r="L829" i="1"/>
  <c r="J830" i="1"/>
  <c r="K830" i="1"/>
  <c r="L830" i="1"/>
  <c r="J831" i="1"/>
  <c r="K831" i="1"/>
  <c r="L831" i="1"/>
  <c r="J832" i="1"/>
  <c r="K832" i="1"/>
  <c r="L832" i="1"/>
  <c r="J833" i="1"/>
  <c r="K833" i="1"/>
  <c r="L833" i="1"/>
  <c r="J834" i="1"/>
  <c r="K834" i="1"/>
  <c r="L834" i="1"/>
  <c r="J835" i="1"/>
  <c r="K835" i="1"/>
  <c r="L835" i="1"/>
  <c r="J836" i="1"/>
  <c r="K836" i="1"/>
  <c r="L836" i="1"/>
  <c r="J837" i="1"/>
  <c r="K837" i="1"/>
  <c r="L837" i="1"/>
  <c r="K2" i="1"/>
  <c r="L2" i="1"/>
  <c r="J2" i="1"/>
  <c r="C840" i="1"/>
  <c r="D840" i="1"/>
  <c r="E840" i="1"/>
  <c r="J840" i="1" s="1"/>
  <c r="F840" i="1"/>
  <c r="K840" i="1" s="1"/>
  <c r="G840" i="1"/>
  <c r="L840" i="1" s="1"/>
  <c r="B840" i="1"/>
</calcChain>
</file>

<file path=xl/sharedStrings.xml><?xml version="1.0" encoding="utf-8"?>
<sst xmlns="http://schemas.openxmlformats.org/spreadsheetml/2006/main" count="872" uniqueCount="865">
  <si>
    <t>VA_MC_mean</t>
  </si>
  <si>
    <t>VB_MC_mean</t>
  </si>
  <si>
    <t>VC_MC_mean</t>
  </si>
  <si>
    <t>MC_node_count</t>
  </si>
  <si>
    <t>VA_CYME_mean</t>
  </si>
  <si>
    <t>VB_CYME_mean</t>
  </si>
  <si>
    <t>VC_CYME_mean</t>
  </si>
  <si>
    <t>CYME_node_count</t>
  </si>
  <si>
    <t>CKT_KEY</t>
  </si>
  <si>
    <t>CKT_2155_12331</t>
  </si>
  <si>
    <t>CKT_3250_02485</t>
  </si>
  <si>
    <t>CKT_156_06131</t>
  </si>
  <si>
    <t>CKT_209_14375</t>
  </si>
  <si>
    <t>CKT_1727_14043</t>
  </si>
  <si>
    <t>CKT_4372_05219</t>
  </si>
  <si>
    <t>CKT_1051_12960</t>
  </si>
  <si>
    <t>CKT_3953_09972</t>
  </si>
  <si>
    <t>CKT_4337_10933</t>
  </si>
  <si>
    <t>CKT_4186_02037</t>
  </si>
  <si>
    <t>CKT_2751_02720</t>
  </si>
  <si>
    <t>CKT_247_16926</t>
  </si>
  <si>
    <t>CKT_4365_16974</t>
  </si>
  <si>
    <t>CKT_4868_03943</t>
  </si>
  <si>
    <t>CKT_9005_13663</t>
  </si>
  <si>
    <t>CKT_4338_05488</t>
  </si>
  <si>
    <t>CKT_4330_12571</t>
  </si>
  <si>
    <t>CKT_3024_07660</t>
  </si>
  <si>
    <t>CKT_361_15376</t>
  </si>
  <si>
    <t>CKT_2465_10435</t>
  </si>
  <si>
    <t>CKT_3986_04130</t>
  </si>
  <si>
    <t>CKT_5254_06448</t>
  </si>
  <si>
    <t>CKT_2574_07870</t>
  </si>
  <si>
    <t>CKT_3796_06549</t>
  </si>
  <si>
    <t>CKT_2839_03328</t>
  </si>
  <si>
    <t>CKT_6074_00727</t>
  </si>
  <si>
    <t>CKT_2403_05307</t>
  </si>
  <si>
    <t>CKT_911_17870</t>
  </si>
  <si>
    <t>CKT_2443_03688</t>
  </si>
  <si>
    <t>CKT_1962_01050</t>
  </si>
  <si>
    <t>CKT_3401_02768</t>
  </si>
  <si>
    <t>CKT_1581_18950</t>
  </si>
  <si>
    <t>CKT_3675_06230</t>
  </si>
  <si>
    <t>CKT_3080_07928</t>
  </si>
  <si>
    <t>CKT_2404_07490</t>
  </si>
  <si>
    <t>CKT_1896_00669</t>
  </si>
  <si>
    <t>CKT_1547_16352</t>
  </si>
  <si>
    <t>CKT_1824_19417</t>
  </si>
  <si>
    <t>CKT_2500_08194</t>
  </si>
  <si>
    <t>CKT_4854_12781</t>
  </si>
  <si>
    <t>CKT_3058_03460</t>
  </si>
  <si>
    <t>CKT_5902_19838</t>
  </si>
  <si>
    <t>CKT_4800_10687</t>
  </si>
  <si>
    <t>CKT_1419_16122</t>
  </si>
  <si>
    <t>CKT_2053_00870</t>
  </si>
  <si>
    <t>CKT_3092_06357</t>
  </si>
  <si>
    <t>CKT_435_17253</t>
  </si>
  <si>
    <t>CKT_2543_03584</t>
  </si>
  <si>
    <t>CKT_2947_06280</t>
  </si>
  <si>
    <t>CKT_2120_12131</t>
  </si>
  <si>
    <t>CKT_3882_09854</t>
  </si>
  <si>
    <t>CKT_2315_04795</t>
  </si>
  <si>
    <t>CKT_445_03850</t>
  </si>
  <si>
    <t>CKT_2163_12395</t>
  </si>
  <si>
    <t>CKT_2305_02600</t>
  </si>
  <si>
    <t>CKT_3176_07820</t>
  </si>
  <si>
    <t>CKT_2961_05200</t>
  </si>
  <si>
    <t>CKT_5898_12775</t>
  </si>
  <si>
    <t>CKT_1114_15680</t>
  </si>
  <si>
    <t>CKT_30_14584</t>
  </si>
  <si>
    <t>CKT_8860_18163</t>
  </si>
  <si>
    <t>CKT_8807_08315</t>
  </si>
  <si>
    <t>CKT_5371_03885</t>
  </si>
  <si>
    <t>CKT_2317_06108</t>
  </si>
  <si>
    <t>CKT_2496_02840</t>
  </si>
  <si>
    <t>CKT_567_17405</t>
  </si>
  <si>
    <t>CKT_3209_06888</t>
  </si>
  <si>
    <t>CKT_381_14547</t>
  </si>
  <si>
    <t>CKT_9208_09357</t>
  </si>
  <si>
    <t>CKT_1833_19537</t>
  </si>
  <si>
    <t>CKT_5066_14189</t>
  </si>
  <si>
    <t>CKT_3352_08271</t>
  </si>
  <si>
    <t>CKT_3466_02876</t>
  </si>
  <si>
    <t>CKT_1964_01053</t>
  </si>
  <si>
    <t>CKT_8_19693</t>
  </si>
  <si>
    <t>CKT_2858_03000</t>
  </si>
  <si>
    <t>CKT_92_16775</t>
  </si>
  <si>
    <t>CKT_4884_08943</t>
  </si>
  <si>
    <t>CKT_4870_06001</t>
  </si>
  <si>
    <t>CKT_2063_11843</t>
  </si>
  <si>
    <t>CKT_2882_11364</t>
  </si>
  <si>
    <t>CKT_925_17912</t>
  </si>
  <si>
    <t>CKT_3368_08407</t>
  </si>
  <si>
    <t>CKT_414_17116</t>
  </si>
  <si>
    <t>CKT_4214_07661</t>
  </si>
  <si>
    <t>CKT_2282_09320</t>
  </si>
  <si>
    <t>CKT_4753_01515</t>
  </si>
  <si>
    <t>CKT_3185_05707</t>
  </si>
  <si>
    <t>CKT_1161_13164</t>
  </si>
  <si>
    <t>CKT_2200_12600</t>
  </si>
  <si>
    <t>CKT_5322_13201</t>
  </si>
  <si>
    <t>CKT_14460_19586</t>
  </si>
  <si>
    <t>CKT_4343_00813</t>
  </si>
  <si>
    <t>CKT_1408_13737</t>
  </si>
  <si>
    <t>CKT_3376_11362</t>
  </si>
  <si>
    <t>CKT_450_05079</t>
  </si>
  <si>
    <t>CKT_4824_09811</t>
  </si>
  <si>
    <t>CKT_472_16666</t>
  </si>
  <si>
    <t>CKT_2307_04980</t>
  </si>
  <si>
    <t>CKT_4271_02319</t>
  </si>
  <si>
    <t>CKT_6040_02763</t>
  </si>
  <si>
    <t>CKT_2545_04735</t>
  </si>
  <si>
    <t>CKT_2706_07050</t>
  </si>
  <si>
    <t>CKT_1516_13854</t>
  </si>
  <si>
    <t>CKT_1868_04422</t>
  </si>
  <si>
    <t>CKT_8882_16227</t>
  </si>
  <si>
    <t>CKT_1203_15737</t>
  </si>
  <si>
    <t>CKT_1616_13918</t>
  </si>
  <si>
    <t>CKT_288_19810</t>
  </si>
  <si>
    <t>CKT_2462_03944</t>
  </si>
  <si>
    <t>CKT_2606_01898</t>
  </si>
  <si>
    <t>CKT_2292_10360</t>
  </si>
  <si>
    <t>CKT_5052_17354</t>
  </si>
  <si>
    <t>CKT_4351_12197</t>
  </si>
  <si>
    <t>CKT_1806_19309</t>
  </si>
  <si>
    <t>CKT_2359_11720</t>
  </si>
  <si>
    <t>CKT_4906_05147</t>
  </si>
  <si>
    <t>CKT_242_16890</t>
  </si>
  <si>
    <t>CKT_1835_19528</t>
  </si>
  <si>
    <t>CKT_4814_08651</t>
  </si>
  <si>
    <t>CKT_2169_12425</t>
  </si>
  <si>
    <t>CKT_1963_01510</t>
  </si>
  <si>
    <t>CKT_4778_16806</t>
  </si>
  <si>
    <t>CKT_656_14750</t>
  </si>
  <si>
    <t>CKT_2204_12616</t>
  </si>
  <si>
    <t>CKT_5073_02672</t>
  </si>
  <si>
    <t>CKT_14725_13892</t>
  </si>
  <si>
    <t>CKT_510_14630</t>
  </si>
  <si>
    <t>CKT_3455_11627</t>
  </si>
  <si>
    <t>CKT_1372_18408</t>
  </si>
  <si>
    <t>CKT_3613_06014</t>
  </si>
  <si>
    <t>CKT_3099_10439</t>
  </si>
  <si>
    <t>CKT_2743_09085</t>
  </si>
  <si>
    <t>CKT_1352_18525</t>
  </si>
  <si>
    <t>CKT_2476_08240</t>
  </si>
  <si>
    <t>CKT_2319_01846</t>
  </si>
  <si>
    <t>CKT_3010_08564</t>
  </si>
  <si>
    <t>CKT_4235_10538</t>
  </si>
  <si>
    <t>CKT_164_06887</t>
  </si>
  <si>
    <t>CKT_3432_08519</t>
  </si>
  <si>
    <t>CKT_8682_02674</t>
  </si>
  <si>
    <t>CKT_4335_14391</t>
  </si>
  <si>
    <t>CKT_2750_01640</t>
  </si>
  <si>
    <t>CKT_1689_19139</t>
  </si>
  <si>
    <t>CKT_2879_09877</t>
  </si>
  <si>
    <t>CKT_2533_03515</t>
  </si>
  <si>
    <t>CKT_4827_06276</t>
  </si>
  <si>
    <t>CKT_606_01061</t>
  </si>
  <si>
    <t>CKT_433_17320</t>
  </si>
  <si>
    <t>CKT_4410_17422</t>
  </si>
  <si>
    <t>CKT_3324_05204</t>
  </si>
  <si>
    <t>CKT_4377_16941</t>
  </si>
  <si>
    <t>CKT_2955_09450</t>
  </si>
  <si>
    <t>CKT_3462_02847</t>
  </si>
  <si>
    <t>CKT_3917_04085</t>
  </si>
  <si>
    <t>CKT_749_00091</t>
  </si>
  <si>
    <t>CKT_4110_01849</t>
  </si>
  <si>
    <t>CKT_287_19807</t>
  </si>
  <si>
    <t>CKT_3459_11685</t>
  </si>
  <si>
    <t>CKT_4173_10526</t>
  </si>
  <si>
    <t>CKT_9177_03165</t>
  </si>
  <si>
    <t>CKT_1793_16665</t>
  </si>
  <si>
    <t>CKT_4171_10511</t>
  </si>
  <si>
    <t>CKT_2458_02424</t>
  </si>
  <si>
    <t>CKT_2109_12070</t>
  </si>
  <si>
    <t>CKT_14518_07417</t>
  </si>
  <si>
    <t>CKT_3028_10368</t>
  </si>
  <si>
    <t>CKT_4858_04053</t>
  </si>
  <si>
    <t>CKT_4835_16761</t>
  </si>
  <si>
    <t>CKT_3091_06273</t>
  </si>
  <si>
    <t>CKT_1021_18000</t>
  </si>
  <si>
    <t>CKT_1776_16585</t>
  </si>
  <si>
    <t>CKT_4798_00829</t>
  </si>
  <si>
    <t>CKT_3005_05930</t>
  </si>
  <si>
    <t>CKT_1248_18307</t>
  </si>
  <si>
    <t>CKT_2859_08480</t>
  </si>
  <si>
    <t>CKT_3498_05591</t>
  </si>
  <si>
    <t>CKT_2956_10705</t>
  </si>
  <si>
    <t>CKT_4032_01692</t>
  </si>
  <si>
    <t>CKT_3521_08703</t>
  </si>
  <si>
    <t>CKT_882_15275</t>
  </si>
  <si>
    <t>CKT_4059_04400</t>
  </si>
  <si>
    <t>CKT_3763_09452</t>
  </si>
  <si>
    <t>CKT_1040_18076</t>
  </si>
  <si>
    <t>CKT_4191_02060</t>
  </si>
  <si>
    <t>CKT_709_17577</t>
  </si>
  <si>
    <t>CKT_2267_10417</t>
  </si>
  <si>
    <t>CKT_4381_06842</t>
  </si>
  <si>
    <t>CKT_2546_04905</t>
  </si>
  <si>
    <t>CKT_2251_01518</t>
  </si>
  <si>
    <t>CKT_2198_12582</t>
  </si>
  <si>
    <t>CKT_1649_16455</t>
  </si>
  <si>
    <t>CKT_1112_15670</t>
  </si>
  <si>
    <t>CKT_1479_18815</t>
  </si>
  <si>
    <t>CKT_1879_16763</t>
  </si>
  <si>
    <t>CKT_76_14350</t>
  </si>
  <si>
    <t>CKT_14669_04784</t>
  </si>
  <si>
    <t>CKT_2467_10873</t>
  </si>
  <si>
    <t>CKT_437_10040</t>
  </si>
  <si>
    <t>CKT_590_06078</t>
  </si>
  <si>
    <t>CKT_2477_11730</t>
  </si>
  <si>
    <t>CKT_3746_06432</t>
  </si>
  <si>
    <t>CKT_5072_13301</t>
  </si>
  <si>
    <t>CKT_35_08912</t>
  </si>
  <si>
    <t>CKT_823_17810</t>
  </si>
  <si>
    <t>CKT_360_13676</t>
  </si>
  <si>
    <t>CKT_197_14709</t>
  </si>
  <si>
    <t>CKT_423_17158</t>
  </si>
  <si>
    <t>CKT_14606_11476</t>
  </si>
  <si>
    <t>CKT_4756_10551</t>
  </si>
  <si>
    <t>CKT_2356_03680</t>
  </si>
  <si>
    <t>CKT_2342_01960</t>
  </si>
  <si>
    <t>CKT_4006_07100</t>
  </si>
  <si>
    <t>CKT_470_00494</t>
  </si>
  <si>
    <t>CKT_2417_04000</t>
  </si>
  <si>
    <t>CKT_1859_02323</t>
  </si>
  <si>
    <t>CKT_170_07251</t>
  </si>
  <si>
    <t>CKT_1880_19785</t>
  </si>
  <si>
    <t>CKT_2461_03875</t>
  </si>
  <si>
    <t>CKT_2080_11920</t>
  </si>
  <si>
    <t>CKT_168_12024</t>
  </si>
  <si>
    <t>CKT_589_03838</t>
  </si>
  <si>
    <t>CKT_2868_08695</t>
  </si>
  <si>
    <t>CKT_4795_00436</t>
  </si>
  <si>
    <t>CKT_1711_19245</t>
  </si>
  <si>
    <t>CKT_3598_03298</t>
  </si>
  <si>
    <t>CKT_3034_05030</t>
  </si>
  <si>
    <t>CKT_3354_08276</t>
  </si>
  <si>
    <t>CKT_484_00160</t>
  </si>
  <si>
    <t>CKT_422_17145</t>
  </si>
  <si>
    <t>CKT_2211_12700</t>
  </si>
  <si>
    <t>CKT_4339_16833</t>
  </si>
  <si>
    <t>CKT_3168_04526</t>
  </si>
  <si>
    <t>CKT_3626_08989</t>
  </si>
  <si>
    <t>CKT_397_14598</t>
  </si>
  <si>
    <t>CKT_3921_04109</t>
  </si>
  <si>
    <t>CKT_3830_09673</t>
  </si>
  <si>
    <t>CKT_4965_18765</t>
  </si>
  <si>
    <t>CKT_4308_10735</t>
  </si>
  <si>
    <t>CKT_860_00419</t>
  </si>
  <si>
    <t>CKT_2194_12564</t>
  </si>
  <si>
    <t>CKT_1906_00698</t>
  </si>
  <si>
    <t>CKT_133_19655</t>
  </si>
  <si>
    <t>CKT_1787_16600</t>
  </si>
  <si>
    <t>CKT_2993_11204</t>
  </si>
  <si>
    <t>CKT_2548_10760</t>
  </si>
  <si>
    <t>CKT_3184_05330</t>
  </si>
  <si>
    <t>CKT_5024_17059</t>
  </si>
  <si>
    <t>CKT_5795_05061</t>
  </si>
  <si>
    <t>CKT_2473_04890</t>
  </si>
  <si>
    <t>CKT_4807_11184</t>
  </si>
  <si>
    <t>CKT_869_15150</t>
  </si>
  <si>
    <t>CKT_171_08161</t>
  </si>
  <si>
    <t>CKT_4295_07851</t>
  </si>
  <si>
    <t>CKT_1842_19300</t>
  </si>
  <si>
    <t>CKT_278_19787</t>
  </si>
  <si>
    <t>CKT_1911_00726</t>
  </si>
  <si>
    <t>CKT_4413_06666</t>
  </si>
  <si>
    <t>CKT_14450_09805</t>
  </si>
  <si>
    <t>CKT_1146_18180</t>
  </si>
  <si>
    <t>CKT_335_02828</t>
  </si>
  <si>
    <t>CKT_4935_01516</t>
  </si>
  <si>
    <t>CKT_2554_09160</t>
  </si>
  <si>
    <t>CKT_1878_14004</t>
  </si>
  <si>
    <t>CKT_3915_04075</t>
  </si>
  <si>
    <t>CKT_4426_19014</t>
  </si>
  <si>
    <t>CKT_1163_13178</t>
  </si>
  <si>
    <t>CKT_4208_04765</t>
  </si>
  <si>
    <t>CKT_5162_09392</t>
  </si>
  <si>
    <t>CKT_2055_00878</t>
  </si>
  <si>
    <t>CKT_3563_05827</t>
  </si>
  <si>
    <t>CKT_1729_14074</t>
  </si>
  <si>
    <t>CKT_245_16925</t>
  </si>
  <si>
    <t>CKT_1313_16007</t>
  </si>
  <si>
    <t>CKT_1637_14047</t>
  </si>
  <si>
    <t>CKT_1404_13720</t>
  </si>
  <si>
    <t>CKT_1860_11041</t>
  </si>
  <si>
    <t>CKT_14671_09092</t>
  </si>
  <si>
    <t>CKT_1241_18271</t>
  </si>
  <si>
    <t>CKT_2869_08698</t>
  </si>
  <si>
    <t>CKT_3022_10147</t>
  </si>
  <si>
    <t>CKT_5787_06551</t>
  </si>
  <si>
    <t>CKT_3582_08905</t>
  </si>
  <si>
    <t>CKT_1908_00705</t>
  </si>
  <si>
    <t>CKT_3144_06035</t>
  </si>
  <si>
    <t>CKT_2018_01231</t>
  </si>
  <si>
    <t>CKT_6052_17282</t>
  </si>
  <si>
    <t>CKT_15_17454</t>
  </si>
  <si>
    <t>CKT_1106_15646</t>
  </si>
  <si>
    <t>CKT_2388_10600</t>
  </si>
  <si>
    <t>CKT_1215_15880</t>
  </si>
  <si>
    <t>CKT_1152_18222</t>
  </si>
  <si>
    <t>CKT_2474_05400</t>
  </si>
  <si>
    <t>CKT_2823_08730</t>
  </si>
  <si>
    <t>CKT_1815_19373</t>
  </si>
  <si>
    <t>CKT_3512_08689</t>
  </si>
  <si>
    <t>CKT_196_19261</t>
  </si>
  <si>
    <t>CKT_1492_13758</t>
  </si>
  <si>
    <t>CKT_1858_15372</t>
  </si>
  <si>
    <t>CKT_4964_12758</t>
  </si>
  <si>
    <t>CKT_1905_00695</t>
  </si>
  <si>
    <t>CKT_4135_04628</t>
  </si>
  <si>
    <t>CKT_1025_18018</t>
  </si>
  <si>
    <t>CKT_2345_10420</t>
  </si>
  <si>
    <t>CKT_2598_05850</t>
  </si>
  <si>
    <t>CKT_1284_13508</t>
  </si>
  <si>
    <t>CKT_2555_09890</t>
  </si>
  <si>
    <t>CKT_4328_10872</t>
  </si>
  <si>
    <t>CKT_2360_01350</t>
  </si>
  <si>
    <t>CKT_2600_02855</t>
  </si>
  <si>
    <t>CKT_302_19850</t>
  </si>
  <si>
    <t>CKT_3025_02530</t>
  </si>
  <si>
    <t>CKT_1540_16334</t>
  </si>
  <si>
    <t>CKT_1611_13930</t>
  </si>
  <si>
    <t>CKT_5141_17862</t>
  </si>
  <si>
    <t>CKT_2773_08947</t>
  </si>
  <si>
    <t>CKT_2248_08360</t>
  </si>
  <si>
    <t>CKT_1762_14178</t>
  </si>
  <si>
    <t>CKT_2464_09580</t>
  </si>
  <si>
    <t>CKT_3492_05515</t>
  </si>
  <si>
    <t>CKT_2116_12100</t>
  </si>
  <si>
    <t>CKT_5413_14406</t>
  </si>
  <si>
    <t>CKT_2878_07310</t>
  </si>
  <si>
    <t>CKT_2340_10500</t>
  </si>
  <si>
    <t>CKT_2358_08750</t>
  </si>
  <si>
    <t>CKT_1200_15715</t>
  </si>
  <si>
    <t>CKT_1209_15758</t>
  </si>
  <si>
    <t>CKT_165_16112</t>
  </si>
  <si>
    <t>CKT_2414_04770</t>
  </si>
  <si>
    <t>CKT_584_01000</t>
  </si>
  <si>
    <t>CKT_1685_19133</t>
  </si>
  <si>
    <t>CKT_175_19176</t>
  </si>
  <si>
    <t>CKT_734_00032</t>
  </si>
  <si>
    <t>CKT_2343_02490</t>
  </si>
  <si>
    <t>CKT_1484_18843</t>
  </si>
  <si>
    <t>CKT_3191_08848</t>
  </si>
  <si>
    <t>CKT_25_14569</t>
  </si>
  <si>
    <t>CKT_446_02740</t>
  </si>
  <si>
    <t>CKT_379_14544</t>
  </si>
  <si>
    <t>CKT_3952_09971</t>
  </si>
  <si>
    <t>CKT_3822_09643</t>
  </si>
  <si>
    <t>CKT_3374_11339</t>
  </si>
  <si>
    <t>CKT_2422_02026</t>
  </si>
  <si>
    <t>CKT_1550_16359</t>
  </si>
  <si>
    <t>CKT_4425_12226</t>
  </si>
  <si>
    <t>CKT_3093_11182</t>
  </si>
  <si>
    <t>CKT_1295_13565</t>
  </si>
  <si>
    <t>CKT_1093_15603</t>
  </si>
  <si>
    <t>CKT_1636_14037</t>
  </si>
  <si>
    <t>CKT_563_17383</t>
  </si>
  <si>
    <t>CKT_3761_09429</t>
  </si>
  <si>
    <t>CKT_5670_00020</t>
  </si>
  <si>
    <t>CKT_2965_07560</t>
  </si>
  <si>
    <t>CKT_3283_08170</t>
  </si>
  <si>
    <t>CKT_9102_07446</t>
  </si>
  <si>
    <t>CKT_85_16760</t>
  </si>
  <si>
    <t>CKT_3309_02531</t>
  </si>
  <si>
    <t>CKT_4276_04885</t>
  </si>
  <si>
    <t>CKT_1429_13580</t>
  </si>
  <si>
    <t>CKT_4070_07264</t>
  </si>
  <si>
    <t>CKT_3222_11380</t>
  </si>
  <si>
    <t>CKT_2881_11015</t>
  </si>
  <si>
    <t>CKT_574_17437</t>
  </si>
  <si>
    <t>CKT_1330_16073</t>
  </si>
  <si>
    <t>CKT_718_17606</t>
  </si>
  <si>
    <t>CKT_3514_08692</t>
  </si>
  <si>
    <t>CKT_5053_15945</t>
  </si>
  <si>
    <t>CKT_2885_06065</t>
  </si>
  <si>
    <t>CKT_1718_19268</t>
  </si>
  <si>
    <t>CKT_1033_18045</t>
  </si>
  <si>
    <t>CKT_3196_02632</t>
  </si>
  <si>
    <t>CKT_1680_19100</t>
  </si>
  <si>
    <t>CKT_1663_16490</t>
  </si>
  <si>
    <t>CKT_3642_11744</t>
  </si>
  <si>
    <t>CKT_1695_19150</t>
  </si>
  <si>
    <t>CKT_1948_00927</t>
  </si>
  <si>
    <t>CKT_3316_02605</t>
  </si>
  <si>
    <t>CKT_808_17680</t>
  </si>
  <si>
    <t>CKT_591_01254</t>
  </si>
  <si>
    <t>CKT_43733998_14761</t>
  </si>
  <si>
    <t>CKT_4796_16668</t>
  </si>
  <si>
    <t>CKT_4836_03525</t>
  </si>
  <si>
    <t>CKT_566_17400</t>
  </si>
  <si>
    <t>CKT_2470_03170</t>
  </si>
  <si>
    <t>CKT_1326_16049</t>
  </si>
  <si>
    <t>CKT_3328_05211</t>
  </si>
  <si>
    <t>CKT_1674_16535</t>
  </si>
  <si>
    <t>CKT_3892_01371</t>
  </si>
  <si>
    <t>CKT_1620_13959</t>
  </si>
  <si>
    <t>CKT_798_17663</t>
  </si>
  <si>
    <t>CKT_443_05088</t>
  </si>
  <si>
    <t>CKT_2226_16240</t>
  </si>
  <si>
    <t>CKT_1678_16550</t>
  </si>
  <si>
    <t>CKT_2497_03310</t>
  </si>
  <si>
    <t>CKT_2037_00805</t>
  </si>
  <si>
    <t>CKT_254_16946</t>
  </si>
  <si>
    <t>CKT_3175_07570</t>
  </si>
  <si>
    <t>CKT_9076_01749</t>
  </si>
  <si>
    <t>CKT_4019_10074</t>
  </si>
  <si>
    <t>CKT_14672_15315</t>
  </si>
  <si>
    <t>CKT_4970_03427</t>
  </si>
  <si>
    <t>CKT_14900_11751</t>
  </si>
  <si>
    <t>CKT_3586_08916</t>
  </si>
  <si>
    <t>CKT_4914_16153</t>
  </si>
  <si>
    <t>CKT_3109_08662</t>
  </si>
  <si>
    <t>CKT_3206_01354</t>
  </si>
  <si>
    <t>CKT_2107_12058</t>
  </si>
  <si>
    <t>CKT_3814_09558</t>
  </si>
  <si>
    <t>CKT_2969_07280</t>
  </si>
  <si>
    <t>CKT_2532_03270</t>
  </si>
  <si>
    <t>CKT_2644_04220</t>
  </si>
  <si>
    <t>CKT_2499_07700</t>
  </si>
  <si>
    <t>CKT_4023_10119</t>
  </si>
  <si>
    <t>CKT_2459_02540</t>
  </si>
  <si>
    <t>CKT_2004_01140</t>
  </si>
  <si>
    <t>CKT_2415_05360</t>
  </si>
  <si>
    <t>CKT_4837_07109</t>
  </si>
  <si>
    <t>CKT_2354_05310</t>
  </si>
  <si>
    <t>CKT_3878_09828</t>
  </si>
  <si>
    <t>CKT_393_18270</t>
  </si>
  <si>
    <t>CKT_2621_09170</t>
  </si>
  <si>
    <t>CKT_549_17290</t>
  </si>
  <si>
    <t>CKT_2416_02730</t>
  </si>
  <si>
    <t>CKT_229_14450</t>
  </si>
  <si>
    <t>CKT_3282_08156</t>
  </si>
  <si>
    <t>CKT_1957_00990</t>
  </si>
  <si>
    <t>CKT_2290_08949</t>
  </si>
  <si>
    <t>CKT_892_15307</t>
  </si>
  <si>
    <t>CKT_3405_02827</t>
  </si>
  <si>
    <t>CKT_3227_10951</t>
  </si>
  <si>
    <t>CKT_140_19700</t>
  </si>
  <si>
    <t>CKT_1763_14181</t>
  </si>
  <si>
    <t>CKT_819_17785</t>
  </si>
  <si>
    <t>CKT_407_17008</t>
  </si>
  <si>
    <t>CKT_2112_12083</t>
  </si>
  <si>
    <t>CKT_4888_17797</t>
  </si>
  <si>
    <t>CKT_2083_11935</t>
  </si>
  <si>
    <t>CKT_5065_01851</t>
  </si>
  <si>
    <t>CKT_2186_12523</t>
  </si>
  <si>
    <t>CKT_768_15010</t>
  </si>
  <si>
    <t>CKT_4266_02280</t>
  </si>
  <si>
    <t>CKT_4853_08306</t>
  </si>
  <si>
    <t>CKT_5150_06595</t>
  </si>
  <si>
    <t>CKT_5848_00812</t>
  </si>
  <si>
    <t>CKT_3494_05568</t>
  </si>
  <si>
    <t>CKT_3755_09390</t>
  </si>
  <si>
    <t>CKT_1693_19140</t>
  </si>
  <si>
    <t>CKT_2990_04731</t>
  </si>
  <si>
    <t>CKT_2074_11907</t>
  </si>
  <si>
    <t>CKT_2539_03601</t>
  </si>
  <si>
    <t>CKT_1363_18610</t>
  </si>
  <si>
    <t>CKT_169_11022</t>
  </si>
  <si>
    <t>CKT_4334_19534</t>
  </si>
  <si>
    <t>CKT_3_19809</t>
  </si>
  <si>
    <t>CKT_4113_01876</t>
  </si>
  <si>
    <t>CKT_1398_13680</t>
  </si>
  <si>
    <t>CKT_4063_04438</t>
  </si>
  <si>
    <t>CKT_14781_09735</t>
  </si>
  <si>
    <t>CKT_178_11012</t>
  </si>
  <si>
    <t>CKT_2357_04160</t>
  </si>
  <si>
    <t>CKT_4182_01976</t>
  </si>
  <si>
    <t>CKT_2041_00816</t>
  </si>
  <si>
    <t>CKT_1626_13982</t>
  </si>
  <si>
    <t>CKT_100_16795</t>
  </si>
  <si>
    <t>CKT_3008_01434</t>
  </si>
  <si>
    <t>CKT_1396_13660</t>
  </si>
  <si>
    <t>CKT_898_15340</t>
  </si>
  <si>
    <t>CKT_745_00050</t>
  </si>
  <si>
    <t>CKT_1323_16043</t>
  </si>
  <si>
    <t>CKT_1048_13343</t>
  </si>
  <si>
    <t>CKT_4090_10261</t>
  </si>
  <si>
    <t>CKT_1435_16200</t>
  </si>
  <si>
    <t>CKT_1374_18629</t>
  </si>
  <si>
    <t>CKT_2503_11780</t>
  </si>
  <si>
    <t>CKT_2966_01837</t>
  </si>
  <si>
    <t>CKT_836_00307</t>
  </si>
  <si>
    <t>CKT_36_03319</t>
  </si>
  <si>
    <t>CKT_1053_12976</t>
  </si>
  <si>
    <t>CKT_2023_01255</t>
  </si>
  <si>
    <t>CKT_5171_19052</t>
  </si>
  <si>
    <t>CKT_1096_15608</t>
  </si>
  <si>
    <t>CKT_1400_13695</t>
  </si>
  <si>
    <t>CKT_3280_08145</t>
  </si>
  <si>
    <t>CKT_2547_05819</t>
  </si>
  <si>
    <t>CKT_114_16955</t>
  </si>
  <si>
    <t>CKT_309_19239</t>
  </si>
  <si>
    <t>CKT_4382_11350</t>
  </si>
  <si>
    <t>CKT_1381_13610</t>
  </si>
  <si>
    <t>CKT_4037_01733</t>
  </si>
  <si>
    <t>CKT_458_01051</t>
  </si>
  <si>
    <t>CKT_14611_06530</t>
  </si>
  <si>
    <t>CKT_2210_12690</t>
  </si>
  <si>
    <t>CKT_3158_04772</t>
  </si>
  <si>
    <t>CKT_1221_15910</t>
  </si>
  <si>
    <t>CKT_1502_13795</t>
  </si>
  <si>
    <t>CKT_2316_05502</t>
  </si>
  <si>
    <t>CKT_2745_09770</t>
  </si>
  <si>
    <t>CKT_4804_04693</t>
  </si>
  <si>
    <t>CKT_3472_02915</t>
  </si>
  <si>
    <t>CKT_633_00535</t>
  </si>
  <si>
    <t>CKT_1174_13256</t>
  </si>
  <si>
    <t>CKT_5296_02966</t>
  </si>
  <si>
    <t>CKT_4145_07568</t>
  </si>
  <si>
    <t>CKT_3016_08849</t>
  </si>
  <si>
    <t>CKT_1658_16472</t>
  </si>
  <si>
    <t>CKT_58_14283</t>
  </si>
  <si>
    <t>CKT_1812_19354</t>
  </si>
  <si>
    <t>CKT_2595_01360</t>
  </si>
  <si>
    <t>CKT_274_19772</t>
  </si>
  <si>
    <t>CKT_442_02690</t>
  </si>
  <si>
    <t>CKT_2045_00830</t>
  </si>
  <si>
    <t>CKT_2463_08940</t>
  </si>
  <si>
    <t>CKT_1814_19370</t>
  </si>
  <si>
    <t>CKT_3081_08479</t>
  </si>
  <si>
    <t>CKT_1437_16220</t>
  </si>
  <si>
    <t>CKT_3774_03686</t>
  </si>
  <si>
    <t>CKT_2948_07960</t>
  </si>
  <si>
    <t>CKT_2924_01680</t>
  </si>
  <si>
    <t>CKT_2502_11554</t>
  </si>
  <si>
    <t>CKT_522_14661</t>
  </si>
  <si>
    <t>CKT_136_19670</t>
  </si>
  <si>
    <t>CKT_4047_01803</t>
  </si>
  <si>
    <t>CKT_4251_10714</t>
  </si>
  <si>
    <t>CKT_5576_01422</t>
  </si>
  <si>
    <t>CKT_329_12167</t>
  </si>
  <si>
    <t>CKT_788_17630</t>
  </si>
  <si>
    <t>CKT_3088_01604</t>
  </si>
  <si>
    <t>CKT_3484_02965</t>
  </si>
  <si>
    <t>CKT_4241_10624</t>
  </si>
  <si>
    <t>CKT_4394_15122</t>
  </si>
  <si>
    <t>CKT_2673_08810</t>
  </si>
  <si>
    <t>CKT_775_15051</t>
  </si>
  <si>
    <t>CKT_3766_09469</t>
  </si>
  <si>
    <t>CKT_3421_05479</t>
  </si>
  <si>
    <t>CKT_3085_02950</t>
  </si>
  <si>
    <t>CKT_226_14436</t>
  </si>
  <si>
    <t>CKT_3245_02422</t>
  </si>
  <si>
    <t>CKT_436_17256</t>
  </si>
  <si>
    <t>CKT_4740_18734</t>
  </si>
  <si>
    <t>CKT_706_17558</t>
  </si>
  <si>
    <t>CKT_2822_03510</t>
  </si>
  <si>
    <t>CKT_4380_03370</t>
  </si>
  <si>
    <t>CKT_4818_14396</t>
  </si>
  <si>
    <t>CKT_1245_18295</t>
  </si>
  <si>
    <t>CKT_2466_05600</t>
  </si>
  <si>
    <t>CKT_1108_15648</t>
  </si>
  <si>
    <t>CKT_2581_01865</t>
  </si>
  <si>
    <t>CKT_684_03155</t>
  </si>
  <si>
    <t>CKT_377_14535</t>
  </si>
  <si>
    <t>CKT_4957_06950</t>
  </si>
  <si>
    <t>CKT_2025_17258</t>
  </si>
  <si>
    <t>CKT_255_16963</t>
  </si>
  <si>
    <t>CKT_1014_17972</t>
  </si>
  <si>
    <t>CKT_4907_17033</t>
  </si>
  <si>
    <t>CKT_3700_09237</t>
  </si>
  <si>
    <t>CKT_137_19697</t>
  </si>
  <si>
    <t>CKT_2353_02370</t>
  </si>
  <si>
    <t>CKT_1753_14154</t>
  </si>
  <si>
    <t>CKT_5116_10871</t>
  </si>
  <si>
    <t>CKT_1501_13791</t>
  </si>
  <si>
    <t>CKT_166_17692</t>
  </si>
  <si>
    <t>CKT_83_16740</t>
  </si>
  <si>
    <t>CKT_2308_05190</t>
  </si>
  <si>
    <t>CKT_1135_18140</t>
  </si>
  <si>
    <t>CKT_2608_03476</t>
  </si>
  <si>
    <t>CKT_3718_03497</t>
  </si>
  <si>
    <t>CKT_1960_01040</t>
  </si>
  <si>
    <t>CKT_5786_08785</t>
  </si>
  <si>
    <t>CKT_89_16773</t>
  </si>
  <si>
    <t>CKT_3759_09420</t>
  </si>
  <si>
    <t>CKT_2620_06844</t>
  </si>
  <si>
    <t>CKT_3020_02671</t>
  </si>
  <si>
    <t>CKT_3509_08666</t>
  </si>
  <si>
    <t>CKT_2594_06040</t>
  </si>
  <si>
    <t>CKT_2219_12716</t>
  </si>
  <si>
    <t>CKT_343_19262</t>
  </si>
  <si>
    <t>CKT_4082_07455</t>
  </si>
  <si>
    <t>CKT_2967_03610</t>
  </si>
  <si>
    <t>CKT_4175_01940</t>
  </si>
  <si>
    <t>CKT_4053_04314</t>
  </si>
  <si>
    <t>CKT_8821_18511</t>
  </si>
  <si>
    <t>CKT_4102_01822</t>
  </si>
  <si>
    <t>CKT_4894_02421</t>
  </si>
  <si>
    <t>CKT_750_14906</t>
  </si>
  <si>
    <t>CKT_2669_02680</t>
  </si>
  <si>
    <t>CKT_4890_16578</t>
  </si>
  <si>
    <t>CKT_3454_11625</t>
  </si>
  <si>
    <t>CKT_3460_02835</t>
  </si>
  <si>
    <t>CKT_1561_16404</t>
  </si>
  <si>
    <t>CKT_2381_04723</t>
  </si>
  <si>
    <t>CKT_2170_12430</t>
  </si>
  <si>
    <t>CKT_2609_01954</t>
  </si>
  <si>
    <t>CKT_3940_07030</t>
  </si>
  <si>
    <t>CKT_1959_01030</t>
  </si>
  <si>
    <t>CKT_4882_16075</t>
  </si>
  <si>
    <t>CKT_172_04726</t>
  </si>
  <si>
    <t>CKT_4799_01085</t>
  </si>
  <si>
    <t>CKT_3775_03713</t>
  </si>
  <si>
    <t>CKT_2309_07370</t>
  </si>
  <si>
    <t>CKT_382_14560</t>
  </si>
  <si>
    <t>CKT_173_13082</t>
  </si>
  <si>
    <t>CKT_248_16930</t>
  </si>
  <si>
    <t>CKT_4361_16944</t>
  </si>
  <si>
    <t>CKT_5821_00929</t>
  </si>
  <si>
    <t>CKT_3789_06501</t>
  </si>
  <si>
    <t>CKT_841_00331</t>
  </si>
  <si>
    <t>CKT_3420_05467</t>
  </si>
  <si>
    <t>CKT_2_10191</t>
  </si>
  <si>
    <t>CKT_2475_07240</t>
  </si>
  <si>
    <t>CKT_4869_03255</t>
  </si>
  <si>
    <t>CKT_14486_03004</t>
  </si>
  <si>
    <t>CKT_3362_08363</t>
  </si>
  <si>
    <t>CKT_3693_09203</t>
  </si>
  <si>
    <t>CKT_1914_00740</t>
  </si>
  <si>
    <t>CKT_1019_17995</t>
  </si>
  <si>
    <t>CKT_703_17548</t>
  </si>
  <si>
    <t>CKT_1653_16461</t>
  </si>
  <si>
    <t>CKT_1459_18657</t>
  </si>
  <si>
    <t>CKT_501_00245</t>
  </si>
  <si>
    <t>CKT_3029_10510</t>
  </si>
  <si>
    <t>CKT_3347_08256</t>
  </si>
  <si>
    <t>CKT_3880_09837</t>
  </si>
  <si>
    <t>CKT_358_12563</t>
  </si>
  <si>
    <t>CKT_637_00560</t>
  </si>
  <si>
    <t>CKT_4341_01897</t>
  </si>
  <si>
    <t>CKT_3090_02762</t>
  </si>
  <si>
    <t>CKT_1321_16030</t>
  </si>
  <si>
    <t>CKT_16_01377</t>
  </si>
  <si>
    <t>CKT_838_00324</t>
  </si>
  <si>
    <t>CKT_1507_13820</t>
  </si>
  <si>
    <t>CKT_715_17604</t>
  </si>
  <si>
    <t>CKT_4815_09301</t>
  </si>
  <si>
    <t>CKT_2553_03060</t>
  </si>
  <si>
    <t>CKT_14667_02046</t>
  </si>
  <si>
    <t>CKT_167_03257</t>
  </si>
  <si>
    <t>CKT_2135_12198</t>
  </si>
  <si>
    <t>CKT_4336_06796</t>
  </si>
  <si>
    <t>CKT_412_17090</t>
  </si>
  <si>
    <t>CKT_359_11335</t>
  </si>
  <si>
    <t>CKT_2412_05810</t>
  </si>
  <si>
    <t>CKT_2468_02845</t>
  </si>
  <si>
    <t>CKT_2832_03301</t>
  </si>
  <si>
    <t>CKT_3162_10610</t>
  </si>
  <si>
    <t>CKT_904_17820</t>
  </si>
  <si>
    <t>CKT_5316_15063</t>
  </si>
  <si>
    <t>CKT_2535_06427</t>
  </si>
  <si>
    <t>CKT_4427_06169</t>
  </si>
  <si>
    <t>CKT_75_14346</t>
  </si>
  <si>
    <t>CKT_4409_07231</t>
  </si>
  <si>
    <t>CKT_189_10931</t>
  </si>
  <si>
    <t>CKT_1247_18301</t>
  </si>
  <si>
    <t>CKT_1474_18780</t>
  </si>
  <si>
    <t>CKT_2534_06210</t>
  </si>
  <si>
    <t>CKT_4396_19726</t>
  </si>
  <si>
    <t>CKT_1181_13310</t>
  </si>
  <si>
    <t>CKT_2344_02640</t>
  </si>
  <si>
    <t>CKT_2427_09703</t>
  </si>
  <si>
    <t>CKT_2897_09885</t>
  </si>
  <si>
    <t>CKT_1224_15922</t>
  </si>
  <si>
    <t>CKT_1444_16267</t>
  </si>
  <si>
    <t>CKT_2141_12243</t>
  </si>
  <si>
    <t>CKT_661_14813</t>
  </si>
  <si>
    <t>CKT_115_17030</t>
  </si>
  <si>
    <t>CKT_218_14401</t>
  </si>
  <si>
    <t>CKT_2940_02560</t>
  </si>
  <si>
    <t>CKT_2544_04300</t>
  </si>
  <si>
    <t>CKT_2567_09430</t>
  </si>
  <si>
    <t>CKT_257_16966</t>
  </si>
  <si>
    <t>CKT_3193_02987</t>
  </si>
  <si>
    <t>CKT_3188_05327</t>
  </si>
  <si>
    <t>CKT_4150_07603</t>
  </si>
  <si>
    <t>CKT_3026_07447</t>
  </si>
  <si>
    <t>CKT_2301_08405</t>
  </si>
  <si>
    <t>CKT_2127_12159</t>
  </si>
  <si>
    <t>CKT_317_00116</t>
  </si>
  <si>
    <t>CKT_3872_09781</t>
  </si>
  <si>
    <t>CKT_14974_11641</t>
  </si>
  <si>
    <t>CKT_1750_14152</t>
  </si>
  <si>
    <t>CKT_3150_03903</t>
  </si>
  <si>
    <t>CKT_2380_07900</t>
  </si>
  <si>
    <t>CKT_2361_02510</t>
  </si>
  <si>
    <t>CKT_313_13175</t>
  </si>
  <si>
    <t>CKT_4042_01741</t>
  </si>
  <si>
    <t>CKT_3183_03210</t>
  </si>
  <si>
    <t>CKT_2803_01282</t>
  </si>
  <si>
    <t>CKT_3930_06987</t>
  </si>
  <si>
    <t>CKT_2838_02295</t>
  </si>
  <si>
    <t>CKT_310_03583</t>
  </si>
  <si>
    <t>CKT_737_00040</t>
  </si>
  <si>
    <t>CKT_4896_17512</t>
  </si>
  <si>
    <t>CKT_2747_11565</t>
  </si>
  <si>
    <t>CKT_4356_13518</t>
  </si>
  <si>
    <t>CKT_1533_16310</t>
  </si>
  <si>
    <t>CKT_281_19789</t>
  </si>
  <si>
    <t>CKT_334_03810</t>
  </si>
  <si>
    <t>CKT_444_19249</t>
  </si>
  <si>
    <t>CKT_2880_08420</t>
  </si>
  <si>
    <t>CKT_2405_09355</t>
  </si>
  <si>
    <t>CKT_3077_04226</t>
  </si>
  <si>
    <t>CKT_2460_03390</t>
  </si>
  <si>
    <t>CKT_3192_02355</t>
  </si>
  <si>
    <t>CKT_3682_06287</t>
  </si>
  <si>
    <t>CKT_1578_18929</t>
  </si>
  <si>
    <t>CKT_3947_09879</t>
  </si>
  <si>
    <t>CKT_2992_09474</t>
  </si>
  <si>
    <t>CKT_421_17140</t>
  </si>
  <si>
    <t>CKT_1173_13253</t>
  </si>
  <si>
    <t>CKT_4384_18254</t>
  </si>
  <si>
    <t>CKT_1255_18335</t>
  </si>
  <si>
    <t>CKT_2021_01251</t>
  </si>
  <si>
    <t>CKT_2363_01629</t>
  </si>
  <si>
    <t>CKT_210_14376</t>
  </si>
  <si>
    <t>CKT_1850_11363</t>
  </si>
  <si>
    <t>CKT_1348_18580</t>
  </si>
  <si>
    <t>CKT_392_14586</t>
  </si>
  <si>
    <t>CKT_3835_03785</t>
  </si>
  <si>
    <t>CKT_4397_12005</t>
  </si>
  <si>
    <t>CKT_1253_18330</t>
  </si>
  <si>
    <t>CKT_3840_03840</t>
  </si>
  <si>
    <t>CKT_4353_18488</t>
  </si>
  <si>
    <t>CKT_3315_02578</t>
  </si>
  <si>
    <t>CKT_3312_02562</t>
  </si>
  <si>
    <t>CKT_3382_11427</t>
  </si>
  <si>
    <t>CKT_277_04586</t>
  </si>
  <si>
    <t>CKT_3597_03263</t>
  </si>
  <si>
    <t>CKT_1521_13870</t>
  </si>
  <si>
    <t>CKT_3198_03358</t>
  </si>
  <si>
    <t>CKT_4877_18172</t>
  </si>
  <si>
    <t>CKT_3745_06429</t>
  </si>
  <si>
    <t>CKT_1029_18017</t>
  </si>
  <si>
    <t>CKT_4412_08707</t>
  </si>
  <si>
    <t>CKT_1742_14134</t>
  </si>
  <si>
    <t>CKT_922_17915</t>
  </si>
  <si>
    <t>CKT_2562_03934</t>
  </si>
  <si>
    <t>CKT_4844_00651</t>
  </si>
  <si>
    <t>CKT_1854_10333</t>
  </si>
  <si>
    <t>CKT_18_03353</t>
  </si>
  <si>
    <t>CKT_3238_02367</t>
  </si>
  <si>
    <t>CKT_2355_08510</t>
  </si>
  <si>
    <t>CKT_4333_02161</t>
  </si>
  <si>
    <t>CKT_4383_06498</t>
  </si>
  <si>
    <t>CKT_6056_16003</t>
  </si>
  <si>
    <t>CKT_3097_07320</t>
  </si>
  <si>
    <t>CKT_384_14565</t>
  </si>
  <si>
    <t>CKT_3856_06717</t>
  </si>
  <si>
    <t>CKT_1828_19450</t>
  </si>
  <si>
    <t>CKT_2362_07346</t>
  </si>
  <si>
    <t>CKT_324_13902</t>
  </si>
  <si>
    <t>CKT_1190_13355</t>
  </si>
  <si>
    <t>CKT_217_14397</t>
  </si>
  <si>
    <t>CKT_3869_09718</t>
  </si>
  <si>
    <t>CKT_1440_10580</t>
  </si>
  <si>
    <t>CKT_62_14294</t>
  </si>
  <si>
    <t>CKT_9132_02618</t>
  </si>
  <si>
    <t>CKT_2298_01744</t>
  </si>
  <si>
    <t>CKT_473_00092</t>
  </si>
  <si>
    <t>CKT_4743_00889</t>
  </si>
  <si>
    <t>CKT_4424_09721</t>
  </si>
  <si>
    <t>CKT_5097_03709</t>
  </si>
  <si>
    <t>CKT_2132_12175</t>
  </si>
  <si>
    <t>CKT_1277_13467</t>
  </si>
  <si>
    <t>CKT_1427_16147</t>
  </si>
  <si>
    <t>CKT_4373_18299</t>
  </si>
  <si>
    <t>CKT_2306_03990</t>
  </si>
  <si>
    <t>CKT_1105_15643</t>
  </si>
  <si>
    <t>CKT_2707_07520</t>
  </si>
  <si>
    <t>CKT_5327_08298</t>
  </si>
  <si>
    <t>CKT_2479_04530</t>
  </si>
  <si>
    <t>CKT_2811_11341</t>
  </si>
  <si>
    <t>CKT_3594_03205</t>
  </si>
  <si>
    <t>CKT_4122_04504</t>
  </si>
  <si>
    <t>CKT_3958_10005</t>
  </si>
  <si>
    <t>CKT_3015_04706</t>
  </si>
  <si>
    <t>CKT_2937_06730</t>
  </si>
  <si>
    <t>CKT_913_17885</t>
  </si>
  <si>
    <t>CKT_710_17579</t>
  </si>
  <si>
    <t>CKT_3849_03935</t>
  </si>
  <si>
    <t>CKT_4801_17982</t>
  </si>
  <si>
    <t>CKT_2582_11479</t>
  </si>
  <si>
    <t>CKT_9141_14003</t>
  </si>
  <si>
    <t>CKT_1621_13960</t>
  </si>
  <si>
    <t>CKT_3740_06361</t>
  </si>
  <si>
    <t>CKT_2039_00814</t>
  </si>
  <si>
    <t>CKT_14428_06451</t>
  </si>
  <si>
    <t>CKT_5331_14726</t>
  </si>
  <si>
    <t>CKT_3360_08343</t>
  </si>
  <si>
    <t>CKT_600_17690</t>
  </si>
  <si>
    <t>CKT_2093_11975</t>
  </si>
  <si>
    <t>CKT_2287_04045</t>
  </si>
  <si>
    <t>CKT_776_14880</t>
  </si>
  <si>
    <t>CKT_3788_06499</t>
  </si>
  <si>
    <t>CKT_655_14754</t>
  </si>
  <si>
    <t>CKT_1707_19230</t>
  </si>
  <si>
    <t>CKT_4917_06439</t>
  </si>
  <si>
    <t>CKT_2382_06504</t>
  </si>
  <si>
    <t>CKT_14848_06201</t>
  </si>
  <si>
    <t>CKT_3780_03721</t>
  </si>
  <si>
    <t>CKT_3118_06308</t>
  </si>
  <si>
    <t>CKT_4937_08939</t>
  </si>
  <si>
    <t>CKT_195_05626</t>
  </si>
  <si>
    <t>CKT_1660_16476</t>
  </si>
  <si>
    <t>CKT_4031_10180</t>
  </si>
  <si>
    <t>CKT_3800_06581</t>
  </si>
  <si>
    <t>CKT_4727_14925</t>
  </si>
  <si>
    <t>CKT_90_16774</t>
  </si>
  <si>
    <t>CKT_587_18409</t>
  </si>
  <si>
    <t>CKT_71_14337</t>
  </si>
  <si>
    <t>CKT_2352_01810</t>
  </si>
  <si>
    <t>CKT_2991_07134</t>
  </si>
  <si>
    <t>CKT_3578_08888</t>
  </si>
  <si>
    <t>CKT_1289_13538</t>
  </si>
  <si>
    <t>CKT_1259_18370</t>
  </si>
  <si>
    <t>CKT_4167_10483</t>
  </si>
  <si>
    <t>CKT_253_16935</t>
  </si>
  <si>
    <t>CKT_862_00422</t>
  </si>
  <si>
    <t>CKT_4391_16981</t>
  </si>
  <si>
    <t>CKT_3649_03356</t>
  </si>
  <si>
    <t>CKT_2498_04480</t>
  </si>
  <si>
    <t>CKT_3481_02955</t>
  </si>
  <si>
    <t>CKT_2841_08408</t>
  </si>
  <si>
    <t>CKT_8738_16497</t>
  </si>
  <si>
    <t>CKT_2079_11915</t>
  </si>
  <si>
    <t>CKT_4355_03727</t>
  </si>
  <si>
    <t>CKT_5793_16400</t>
  </si>
  <si>
    <t>CKT_3263_05115</t>
  </si>
  <si>
    <t>CKT_3825_09648</t>
  </si>
  <si>
    <t>CKT_474_00093</t>
  </si>
  <si>
    <t>CKT_5220_18631</t>
  </si>
  <si>
    <t>CKT_1570_18871</t>
  </si>
  <si>
    <t>CKT_3079_07415</t>
  </si>
  <si>
    <t>CKT_2899_10313</t>
  </si>
  <si>
    <t>CKT_2410_09443</t>
  </si>
  <si>
    <t>CKT_4201_04736</t>
  </si>
  <si>
    <t>CKT_2082_11931</t>
  </si>
  <si>
    <t>CKT_4892_11166</t>
  </si>
  <si>
    <t>CKT_1909_00720</t>
  </si>
  <si>
    <t>CKT_3458_11675</t>
  </si>
  <si>
    <t>CKT_356_11512</t>
  </si>
  <si>
    <t>Median</t>
  </si>
  <si>
    <t>A Phase</t>
  </si>
  <si>
    <t>B Phase</t>
  </si>
  <si>
    <t>C Phase</t>
  </si>
  <si>
    <t>*Median values for 838 Networks</t>
  </si>
  <si>
    <t>CYME vs MC % DIFF*</t>
  </si>
  <si>
    <t>3-5%</t>
  </si>
  <si>
    <t>&gt;5%</t>
  </si>
  <si>
    <t>Total</t>
  </si>
  <si>
    <t>Within</t>
  </si>
  <si>
    <t>Circuit Count</t>
  </si>
  <si>
    <t>OLD_CONN NEW_CONN COUNT D_D D_Y 14501 Y_D Y_Y 9449</t>
  </si>
  <si>
    <t xml:space="preserve">MC_CONNECTION (derived) </t>
  </si>
  <si>
    <t xml:space="preserve"> D_D </t>
  </si>
  <si>
    <t xml:space="preserve">D_Y </t>
  </si>
  <si>
    <t xml:space="preserve"> Y_D </t>
  </si>
  <si>
    <t xml:space="preserve"> Y_Y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</si>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</sst>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"/>
    <numFmt numFmtId="165" formatCode="0.0%"/>
    <numFmt numFmtId="166" formatCode="0.0000"/>
    <numFmt numFmtId="167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Consolas"/>
      <family val="3"/>
    </font>
    <font>
      <b/>
      <sz val="1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165" fontId="0" fillId="0" borderId="16" xfId="1" applyNumberFormat="1" applyFont="1" applyBorder="1"/>
    <xf numFmtId="165" fontId="0" fillId="0" borderId="17" xfId="1" applyNumberFormat="1" applyFont="1" applyBorder="1"/>
    <xf numFmtId="165" fontId="0" fillId="0" borderId="18" xfId="1" applyNumberFormat="1" applyFont="1" applyBorder="1"/>
    <xf numFmtId="166" fontId="0" fillId="0" borderId="19" xfId="0" applyNumberFormat="1" applyBorder="1"/>
    <xf numFmtId="166" fontId="0" fillId="0" borderId="20" xfId="0" applyNumberFormat="1" applyBorder="1"/>
    <xf numFmtId="166" fontId="0" fillId="0" borderId="21" xfId="0" applyNumberForma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10" fontId="0" fillId="0" borderId="0" xfId="1" applyNumberFormat="1" applyFont="1"/>
    <xf numFmtId="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167" fontId="0" fillId="0" borderId="0" xfId="43" applyNumberFormat="1" applyFont="1"/>
    <xf numFmtId="0" fontId="19" fillId="0" borderId="0" xfId="0" applyFont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Voltage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mc_vs_cyme!$B$1</c:f>
              <c:strCache>
                <c:ptCount val="1"/>
                <c:pt idx="0">
                  <c:v>VA_MC_mean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tint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tint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tint val="5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mc_vs_cyme!$B$2:$B$839</c:f>
              <c:numCache>
                <c:formatCode>0.00000</c:formatCode>
                <c:ptCount val="838"/>
                <c:pt idx="0">
                  <c:v>0.949925032141132</c:v>
                </c:pt>
                <c:pt idx="1">
                  <c:v>1.0116744098764101</c:v>
                </c:pt>
                <c:pt idx="2">
                  <c:v>0.98987465867400404</c:v>
                </c:pt>
                <c:pt idx="3">
                  <c:v>0.96745966774219405</c:v>
                </c:pt>
                <c:pt idx="4">
                  <c:v>1.09004755936644</c:v>
                </c:pt>
                <c:pt idx="5">
                  <c:v>1.0010367876061499</c:v>
                </c:pt>
                <c:pt idx="6">
                  <c:v>0.99905912996442203</c:v>
                </c:pt>
                <c:pt idx="7">
                  <c:v>0.99276859569278997</c:v>
                </c:pt>
                <c:pt idx="8">
                  <c:v>0.99646865300169196</c:v>
                </c:pt>
                <c:pt idx="9">
                  <c:v>0.99695541129639997</c:v>
                </c:pt>
                <c:pt idx="10">
                  <c:v>0.93762179288721403</c:v>
                </c:pt>
                <c:pt idx="11">
                  <c:v>1.0072715461596999</c:v>
                </c:pt>
                <c:pt idx="12">
                  <c:v>0.98977641163658403</c:v>
                </c:pt>
                <c:pt idx="13">
                  <c:v>0.99794009216320401</c:v>
                </c:pt>
                <c:pt idx="14">
                  <c:v>0.99887572772654798</c:v>
                </c:pt>
                <c:pt idx="15">
                  <c:v>1.00030011493878</c:v>
                </c:pt>
                <c:pt idx="16">
                  <c:v>0.91967767946257895</c:v>
                </c:pt>
                <c:pt idx="17">
                  <c:v>0.95464405308605904</c:v>
                </c:pt>
                <c:pt idx="18">
                  <c:v>1.00507293190698</c:v>
                </c:pt>
                <c:pt idx="19">
                  <c:v>0.997268728286415</c:v>
                </c:pt>
                <c:pt idx="20">
                  <c:v>0.93887528896295003</c:v>
                </c:pt>
                <c:pt idx="21">
                  <c:v>1.0122987086191999</c:v>
                </c:pt>
                <c:pt idx="22">
                  <c:v>0.966750844623815</c:v>
                </c:pt>
                <c:pt idx="23">
                  <c:v>1.5891423088782</c:v>
                </c:pt>
                <c:pt idx="24">
                  <c:v>0.94638895501845299</c:v>
                </c:pt>
                <c:pt idx="25">
                  <c:v>0.99663387011536597</c:v>
                </c:pt>
                <c:pt idx="26">
                  <c:v>0.97587616118402198</c:v>
                </c:pt>
                <c:pt idx="27">
                  <c:v>0.98721425147995101</c:v>
                </c:pt>
                <c:pt idx="28">
                  <c:v>0.88857130900513004</c:v>
                </c:pt>
                <c:pt idx="29">
                  <c:v>0.991768675471567</c:v>
                </c:pt>
                <c:pt idx="30">
                  <c:v>0.93337054757635296</c:v>
                </c:pt>
                <c:pt idx="31">
                  <c:v>0.99382419886545403</c:v>
                </c:pt>
                <c:pt idx="32">
                  <c:v>0.97584974338850095</c:v>
                </c:pt>
                <c:pt idx="33">
                  <c:v>0.97563185885623405</c:v>
                </c:pt>
                <c:pt idx="34">
                  <c:v>0.97113404657281899</c:v>
                </c:pt>
                <c:pt idx="35">
                  <c:v>0.95773748831233496</c:v>
                </c:pt>
                <c:pt idx="36">
                  <c:v>0.986878859141325</c:v>
                </c:pt>
                <c:pt idx="37">
                  <c:v>0.96334448882899504</c:v>
                </c:pt>
                <c:pt idx="38">
                  <c:v>0.98284452043188697</c:v>
                </c:pt>
                <c:pt idx="39">
                  <c:v>0.96636445446497998</c:v>
                </c:pt>
                <c:pt idx="40">
                  <c:v>0.977069671353057</c:v>
                </c:pt>
                <c:pt idx="41">
                  <c:v>0.99375158208484904</c:v>
                </c:pt>
                <c:pt idx="42">
                  <c:v>0.99819422248874001</c:v>
                </c:pt>
                <c:pt idx="43">
                  <c:v>1.0607049839796601</c:v>
                </c:pt>
                <c:pt idx="44">
                  <c:v>0.99501136920186195</c:v>
                </c:pt>
                <c:pt idx="45">
                  <c:v>1.2570105273838399</c:v>
                </c:pt>
                <c:pt idx="46">
                  <c:v>1.29776698643037</c:v>
                </c:pt>
                <c:pt idx="48">
                  <c:v>1.00344537427479</c:v>
                </c:pt>
                <c:pt idx="49">
                  <c:v>0.99681175686343704</c:v>
                </c:pt>
                <c:pt idx="50">
                  <c:v>0.92381492403010301</c:v>
                </c:pt>
                <c:pt idx="51">
                  <c:v>0.99735995232651398</c:v>
                </c:pt>
                <c:pt idx="52">
                  <c:v>0.99585478474996403</c:v>
                </c:pt>
                <c:pt idx="53">
                  <c:v>0.98167441336954797</c:v>
                </c:pt>
                <c:pt idx="54">
                  <c:v>1.00755819773038</c:v>
                </c:pt>
                <c:pt idx="55">
                  <c:v>1.0141125530769199</c:v>
                </c:pt>
                <c:pt idx="56">
                  <c:v>0.96135989707412794</c:v>
                </c:pt>
                <c:pt idx="57">
                  <c:v>0.94866405675009102</c:v>
                </c:pt>
                <c:pt idx="58">
                  <c:v>1.4353843580784</c:v>
                </c:pt>
                <c:pt idx="59">
                  <c:v>0.993498071382383</c:v>
                </c:pt>
                <c:pt idx="60">
                  <c:v>0.97319477252317899</c:v>
                </c:pt>
                <c:pt idx="61">
                  <c:v>0.98146983385632303</c:v>
                </c:pt>
                <c:pt idx="62">
                  <c:v>5.1789216611158597</c:v>
                </c:pt>
                <c:pt idx="63">
                  <c:v>1.0033545286010099</c:v>
                </c:pt>
                <c:pt idx="64">
                  <c:v>0.95719268082689601</c:v>
                </c:pt>
                <c:pt idx="65">
                  <c:v>0.99994748566927605</c:v>
                </c:pt>
                <c:pt idx="66">
                  <c:v>1.1149816840062301</c:v>
                </c:pt>
                <c:pt idx="67">
                  <c:v>1.20928558995655</c:v>
                </c:pt>
                <c:pt idx="68">
                  <c:v>0.98791353093602297</c:v>
                </c:pt>
                <c:pt idx="69">
                  <c:v>0.97518752277618304</c:v>
                </c:pt>
                <c:pt idx="70">
                  <c:v>0.99913137418619402</c:v>
                </c:pt>
                <c:pt idx="71">
                  <c:v>1.0032335929259</c:v>
                </c:pt>
                <c:pt idx="72">
                  <c:v>1.00151478561609</c:v>
                </c:pt>
                <c:pt idx="73">
                  <c:v>0.96460385858000597</c:v>
                </c:pt>
                <c:pt idx="74">
                  <c:v>0.995785244794538</c:v>
                </c:pt>
                <c:pt idx="75">
                  <c:v>0.98652367691563503</c:v>
                </c:pt>
                <c:pt idx="76">
                  <c:v>0.97595062885184702</c:v>
                </c:pt>
                <c:pt idx="77">
                  <c:v>1.00034683627737</c:v>
                </c:pt>
                <c:pt idx="78">
                  <c:v>1.33129192090227</c:v>
                </c:pt>
                <c:pt idx="79">
                  <c:v>0.98887701838418196</c:v>
                </c:pt>
                <c:pt idx="80">
                  <c:v>0.98513767284091203</c:v>
                </c:pt>
                <c:pt idx="81">
                  <c:v>1.0009892434738199</c:v>
                </c:pt>
                <c:pt idx="82">
                  <c:v>1.01971300179475</c:v>
                </c:pt>
                <c:pt idx="83">
                  <c:v>0.98247240486551601</c:v>
                </c:pt>
                <c:pt idx="84">
                  <c:v>1.00458086030933</c:v>
                </c:pt>
                <c:pt idx="85">
                  <c:v>2.2850630935446401</c:v>
                </c:pt>
                <c:pt idx="86">
                  <c:v>1.0051592721149301</c:v>
                </c:pt>
                <c:pt idx="87">
                  <c:v>0.96015741201848603</c:v>
                </c:pt>
                <c:pt idx="88">
                  <c:v>0.95401225919791899</c:v>
                </c:pt>
                <c:pt idx="89">
                  <c:v>0.96498425418893796</c:v>
                </c:pt>
                <c:pt idx="90">
                  <c:v>0.96625232100915603</c:v>
                </c:pt>
                <c:pt idx="91">
                  <c:v>1.1768177615763999</c:v>
                </c:pt>
                <c:pt idx="92">
                  <c:v>0.96623250608590905</c:v>
                </c:pt>
                <c:pt idx="93">
                  <c:v>1.0135689610163201</c:v>
                </c:pt>
                <c:pt idx="94">
                  <c:v>0.98996398214079595</c:v>
                </c:pt>
                <c:pt idx="95">
                  <c:v>1.0023817087057301</c:v>
                </c:pt>
                <c:pt idx="96">
                  <c:v>0.99906588353527204</c:v>
                </c:pt>
                <c:pt idx="97">
                  <c:v>0.99437380497371197</c:v>
                </c:pt>
                <c:pt idx="98">
                  <c:v>0.98167930653826796</c:v>
                </c:pt>
                <c:pt idx="99">
                  <c:v>1.0189360883784799</c:v>
                </c:pt>
                <c:pt idx="100">
                  <c:v>0.92431288962295799</c:v>
                </c:pt>
                <c:pt idx="101">
                  <c:v>1.0353139237864999</c:v>
                </c:pt>
                <c:pt idx="102">
                  <c:v>0.94139361734729399</c:v>
                </c:pt>
                <c:pt idx="103">
                  <c:v>0.99234504473624496</c:v>
                </c:pt>
                <c:pt idx="104">
                  <c:v>1.0114554033465399</c:v>
                </c:pt>
                <c:pt idx="105">
                  <c:v>0.97645502307322596</c:v>
                </c:pt>
                <c:pt idx="106">
                  <c:v>0.99705577575928805</c:v>
                </c:pt>
                <c:pt idx="107">
                  <c:v>1.0881806059249</c:v>
                </c:pt>
                <c:pt idx="108">
                  <c:v>0.97492480350336097</c:v>
                </c:pt>
                <c:pt idx="109">
                  <c:v>0.98998506331006797</c:v>
                </c:pt>
                <c:pt idx="110">
                  <c:v>1.34859088392585</c:v>
                </c:pt>
                <c:pt idx="111">
                  <c:v>0.99059867200740603</c:v>
                </c:pt>
                <c:pt idx="112">
                  <c:v>0.992914813769747</c:v>
                </c:pt>
                <c:pt idx="113">
                  <c:v>0.99725941479515801</c:v>
                </c:pt>
                <c:pt idx="114">
                  <c:v>0.97935834717488501</c:v>
                </c:pt>
                <c:pt idx="115">
                  <c:v>0.99085773679518196</c:v>
                </c:pt>
                <c:pt idx="116">
                  <c:v>0.89838629883663002</c:v>
                </c:pt>
                <c:pt idx="117">
                  <c:v>0.99701970322628197</c:v>
                </c:pt>
                <c:pt idx="118">
                  <c:v>0.99488467295982697</c:v>
                </c:pt>
                <c:pt idx="119">
                  <c:v>1.00485942622761</c:v>
                </c:pt>
                <c:pt idx="120">
                  <c:v>1.0399966975797901</c:v>
                </c:pt>
                <c:pt idx="121">
                  <c:v>0.97441529566840701</c:v>
                </c:pt>
                <c:pt idx="122">
                  <c:v>1.0041428736522</c:v>
                </c:pt>
                <c:pt idx="123">
                  <c:v>4.3985569745583799</c:v>
                </c:pt>
                <c:pt idx="124">
                  <c:v>0.99498851463656901</c:v>
                </c:pt>
                <c:pt idx="125">
                  <c:v>1.00121441272086</c:v>
                </c:pt>
                <c:pt idx="126">
                  <c:v>1.0369364816301501</c:v>
                </c:pt>
                <c:pt idx="127">
                  <c:v>0.98772201086812905</c:v>
                </c:pt>
                <c:pt idx="128">
                  <c:v>0.96310142313769198</c:v>
                </c:pt>
                <c:pt idx="129">
                  <c:v>0.97828556445568304</c:v>
                </c:pt>
                <c:pt idx="130">
                  <c:v>0.96535182616188797</c:v>
                </c:pt>
                <c:pt idx="131">
                  <c:v>0.97509517895515996</c:v>
                </c:pt>
                <c:pt idx="132">
                  <c:v>0.97127518060167695</c:v>
                </c:pt>
                <c:pt idx="133">
                  <c:v>0.95595212717765699</c:v>
                </c:pt>
                <c:pt idx="134">
                  <c:v>0.96831244134608796</c:v>
                </c:pt>
                <c:pt idx="135">
                  <c:v>0.963046971805258</c:v>
                </c:pt>
                <c:pt idx="136">
                  <c:v>0.99199333013934499</c:v>
                </c:pt>
                <c:pt idx="137">
                  <c:v>0.98295193562946104</c:v>
                </c:pt>
                <c:pt idx="138">
                  <c:v>0.99677002633353196</c:v>
                </c:pt>
                <c:pt idx="139">
                  <c:v>0.98325084122503403</c:v>
                </c:pt>
                <c:pt idx="140">
                  <c:v>0.99382647405319002</c:v>
                </c:pt>
                <c:pt idx="141">
                  <c:v>0.99999999996464395</c:v>
                </c:pt>
                <c:pt idx="142">
                  <c:v>0.98292393126197597</c:v>
                </c:pt>
                <c:pt idx="143">
                  <c:v>1.0018057470535999</c:v>
                </c:pt>
                <c:pt idx="144">
                  <c:v>0.99869157621237703</c:v>
                </c:pt>
                <c:pt idx="145">
                  <c:v>0.96870664996608102</c:v>
                </c:pt>
                <c:pt idx="146">
                  <c:v>1.08540550741695</c:v>
                </c:pt>
                <c:pt idx="147">
                  <c:v>0.99377841800537503</c:v>
                </c:pt>
                <c:pt idx="148">
                  <c:v>1.0076879837481101</c:v>
                </c:pt>
                <c:pt idx="149">
                  <c:v>1.00198224329032</c:v>
                </c:pt>
                <c:pt idx="150">
                  <c:v>0.90582119885296097</c:v>
                </c:pt>
                <c:pt idx="151">
                  <c:v>0.99737773061033697</c:v>
                </c:pt>
                <c:pt idx="152">
                  <c:v>0.96632345114243601</c:v>
                </c:pt>
                <c:pt idx="153">
                  <c:v>0.99898913797833899</c:v>
                </c:pt>
                <c:pt idx="154">
                  <c:v>0.99939847342436905</c:v>
                </c:pt>
                <c:pt idx="155">
                  <c:v>0.96404703651984602</c:v>
                </c:pt>
                <c:pt idx="156">
                  <c:v>1.0108144788322799</c:v>
                </c:pt>
                <c:pt idx="157">
                  <c:v>0.93581028489275397</c:v>
                </c:pt>
                <c:pt idx="158">
                  <c:v>1.0007867311620899</c:v>
                </c:pt>
                <c:pt idx="159">
                  <c:v>0.99076119384333305</c:v>
                </c:pt>
                <c:pt idx="160">
                  <c:v>1.01594326088126</c:v>
                </c:pt>
                <c:pt idx="161">
                  <c:v>0.98773744682304598</c:v>
                </c:pt>
                <c:pt idx="162">
                  <c:v>1</c:v>
                </c:pt>
                <c:pt idx="163">
                  <c:v>0.996204455426417</c:v>
                </c:pt>
                <c:pt idx="164">
                  <c:v>1.0856946341748701</c:v>
                </c:pt>
                <c:pt idx="165">
                  <c:v>0.92958304748980103</c:v>
                </c:pt>
                <c:pt idx="166">
                  <c:v>0.99430148337893898</c:v>
                </c:pt>
                <c:pt idx="167">
                  <c:v>0.99475661823055905</c:v>
                </c:pt>
                <c:pt idx="168">
                  <c:v>0.99122623044840197</c:v>
                </c:pt>
                <c:pt idx="169">
                  <c:v>0.99923971826126901</c:v>
                </c:pt>
                <c:pt idx="170">
                  <c:v>0.97014109833721895</c:v>
                </c:pt>
                <c:pt idx="171">
                  <c:v>0.99553630209123101</c:v>
                </c:pt>
                <c:pt idx="172">
                  <c:v>0.99542105936433301</c:v>
                </c:pt>
                <c:pt idx="173">
                  <c:v>2.4405688929729199</c:v>
                </c:pt>
                <c:pt idx="174">
                  <c:v>0.93886175437797703</c:v>
                </c:pt>
                <c:pt idx="175">
                  <c:v>0.94908707832021699</c:v>
                </c:pt>
                <c:pt idx="176">
                  <c:v>1.22172538504173</c:v>
                </c:pt>
                <c:pt idx="177">
                  <c:v>1.0799471767684401</c:v>
                </c:pt>
                <c:pt idx="178">
                  <c:v>0.98315988197242299</c:v>
                </c:pt>
                <c:pt idx="179">
                  <c:v>0.99484535991394196</c:v>
                </c:pt>
                <c:pt idx="180">
                  <c:v>0.97533055140614899</c:v>
                </c:pt>
                <c:pt idx="181">
                  <c:v>0.99567396567024202</c:v>
                </c:pt>
                <c:pt idx="182">
                  <c:v>0.98493006246559001</c:v>
                </c:pt>
                <c:pt idx="183">
                  <c:v>0.97434241366091801</c:v>
                </c:pt>
                <c:pt idx="184">
                  <c:v>0.98495416631879895</c:v>
                </c:pt>
                <c:pt idx="185">
                  <c:v>0.99620671436680297</c:v>
                </c:pt>
                <c:pt idx="186">
                  <c:v>0.93687938589325204</c:v>
                </c:pt>
                <c:pt idx="187">
                  <c:v>1.0364301195125001</c:v>
                </c:pt>
                <c:pt idx="188">
                  <c:v>0.99653502075534905</c:v>
                </c:pt>
                <c:pt idx="189">
                  <c:v>0.99517877460336501</c:v>
                </c:pt>
                <c:pt idx="190">
                  <c:v>0.92134085862656501</c:v>
                </c:pt>
                <c:pt idx="191">
                  <c:v>0.99669449335889504</c:v>
                </c:pt>
                <c:pt idx="192">
                  <c:v>0.96275309799230901</c:v>
                </c:pt>
                <c:pt idx="193">
                  <c:v>0.99210220617743505</c:v>
                </c:pt>
                <c:pt idx="194">
                  <c:v>0.99522016610975195</c:v>
                </c:pt>
                <c:pt idx="195">
                  <c:v>0.993871617993348</c:v>
                </c:pt>
                <c:pt idx="196">
                  <c:v>0.96324034388604396</c:v>
                </c:pt>
                <c:pt idx="197">
                  <c:v>4.9069069394602396</c:v>
                </c:pt>
                <c:pt idx="198">
                  <c:v>0.996227781896042</c:v>
                </c:pt>
                <c:pt idx="199">
                  <c:v>1.0182825984675099</c:v>
                </c:pt>
                <c:pt idx="200">
                  <c:v>0.97526046420974899</c:v>
                </c:pt>
                <c:pt idx="201">
                  <c:v>2.8600419974471301</c:v>
                </c:pt>
                <c:pt idx="202">
                  <c:v>1.0008057562808099</c:v>
                </c:pt>
                <c:pt idx="203">
                  <c:v>0.99695596285848798</c:v>
                </c:pt>
                <c:pt idx="204">
                  <c:v>0.96156158210193299</c:v>
                </c:pt>
                <c:pt idx="205">
                  <c:v>1.0092508664256601</c:v>
                </c:pt>
                <c:pt idx="206">
                  <c:v>0.98436912681251598</c:v>
                </c:pt>
                <c:pt idx="207">
                  <c:v>0.98571565632915903</c:v>
                </c:pt>
                <c:pt idx="208">
                  <c:v>0.96864149308515601</c:v>
                </c:pt>
                <c:pt idx="209">
                  <c:v>0.99603396699831304</c:v>
                </c:pt>
                <c:pt idx="210">
                  <c:v>0.98708980043778904</c:v>
                </c:pt>
                <c:pt idx="211">
                  <c:v>0.96225603682244498</c:v>
                </c:pt>
                <c:pt idx="212">
                  <c:v>0.95514331338279101</c:v>
                </c:pt>
                <c:pt idx="213">
                  <c:v>1.02702155297247</c:v>
                </c:pt>
                <c:pt idx="214">
                  <c:v>0.986002844583035</c:v>
                </c:pt>
                <c:pt idx="215">
                  <c:v>1.0025012018274</c:v>
                </c:pt>
                <c:pt idx="216">
                  <c:v>0.94633838237906598</c:v>
                </c:pt>
                <c:pt idx="217">
                  <c:v>0.98722012392498304</c:v>
                </c:pt>
                <c:pt idx="218">
                  <c:v>0.99652381522084699</c:v>
                </c:pt>
                <c:pt idx="219">
                  <c:v>0.98477281585268905</c:v>
                </c:pt>
                <c:pt idx="220">
                  <c:v>0.99999999996464395</c:v>
                </c:pt>
                <c:pt idx="221">
                  <c:v>0.99665767715017195</c:v>
                </c:pt>
                <c:pt idx="222">
                  <c:v>2.2370967705693099</c:v>
                </c:pt>
                <c:pt idx="223">
                  <c:v>1.0188185382056401</c:v>
                </c:pt>
                <c:pt idx="224">
                  <c:v>1.00079561465455</c:v>
                </c:pt>
                <c:pt idx="225">
                  <c:v>0.99552129826878</c:v>
                </c:pt>
                <c:pt idx="226">
                  <c:v>1.0023962992192501</c:v>
                </c:pt>
                <c:pt idx="227">
                  <c:v>0.99151876571460795</c:v>
                </c:pt>
                <c:pt idx="228">
                  <c:v>0.98050218457294602</c:v>
                </c:pt>
                <c:pt idx="229">
                  <c:v>0.98995160064663901</c:v>
                </c:pt>
                <c:pt idx="230">
                  <c:v>0.98736780376978905</c:v>
                </c:pt>
                <c:pt idx="231">
                  <c:v>1.00102488279372</c:v>
                </c:pt>
                <c:pt idx="232">
                  <c:v>1.16086840053403</c:v>
                </c:pt>
                <c:pt idx="233">
                  <c:v>1.0045927495318601</c:v>
                </c:pt>
                <c:pt idx="234">
                  <c:v>0.93437133741298195</c:v>
                </c:pt>
                <c:pt idx="235">
                  <c:v>1.4612970156179499</c:v>
                </c:pt>
                <c:pt idx="236">
                  <c:v>1.61208047881782</c:v>
                </c:pt>
                <c:pt idx="237">
                  <c:v>1.0069068754274699</c:v>
                </c:pt>
                <c:pt idx="238">
                  <c:v>0.89688071078236398</c:v>
                </c:pt>
                <c:pt idx="239">
                  <c:v>0.99785751277187196</c:v>
                </c:pt>
                <c:pt idx="240">
                  <c:v>0.99688215872957597</c:v>
                </c:pt>
                <c:pt idx="241">
                  <c:v>0.99433784065036601</c:v>
                </c:pt>
                <c:pt idx="242">
                  <c:v>0.99646078484529199</c:v>
                </c:pt>
                <c:pt idx="243">
                  <c:v>1.4332746708764701</c:v>
                </c:pt>
                <c:pt idx="244">
                  <c:v>0.974547140458633</c:v>
                </c:pt>
                <c:pt idx="245">
                  <c:v>1.0057913225941399</c:v>
                </c:pt>
                <c:pt idx="246">
                  <c:v>1.0018533144909001</c:v>
                </c:pt>
                <c:pt idx="247">
                  <c:v>1.02322166984729</c:v>
                </c:pt>
                <c:pt idx="248">
                  <c:v>1.00280589242597</c:v>
                </c:pt>
                <c:pt idx="249">
                  <c:v>0.95431506606939198</c:v>
                </c:pt>
                <c:pt idx="250">
                  <c:v>1.0108014413549</c:v>
                </c:pt>
                <c:pt idx="251">
                  <c:v>1.1801769571945</c:v>
                </c:pt>
                <c:pt idx="252">
                  <c:v>0.986447176568233</c:v>
                </c:pt>
                <c:pt idx="253">
                  <c:v>1.00894817928789</c:v>
                </c:pt>
                <c:pt idx="254">
                  <c:v>0.97328608605408296</c:v>
                </c:pt>
                <c:pt idx="255">
                  <c:v>0.99703818929219501</c:v>
                </c:pt>
                <c:pt idx="256">
                  <c:v>1.00120091295319</c:v>
                </c:pt>
                <c:pt idx="257">
                  <c:v>0.99587466689277204</c:v>
                </c:pt>
                <c:pt idx="258">
                  <c:v>1.0031555889175201</c:v>
                </c:pt>
                <c:pt idx="259">
                  <c:v>0.98848349774794397</c:v>
                </c:pt>
                <c:pt idx="260">
                  <c:v>0.97993494257318203</c:v>
                </c:pt>
                <c:pt idx="261">
                  <c:v>1.00977907040397</c:v>
                </c:pt>
                <c:pt idx="262">
                  <c:v>1.0146897533136101</c:v>
                </c:pt>
                <c:pt idx="263">
                  <c:v>1.00333873876317</c:v>
                </c:pt>
                <c:pt idx="264">
                  <c:v>0.99634749486741303</c:v>
                </c:pt>
                <c:pt idx="265">
                  <c:v>1.001615216816</c:v>
                </c:pt>
                <c:pt idx="266">
                  <c:v>0.94182154269413598</c:v>
                </c:pt>
                <c:pt idx="267">
                  <c:v>1.00309687124161</c:v>
                </c:pt>
                <c:pt idx="268">
                  <c:v>0.993111085380049</c:v>
                </c:pt>
                <c:pt idx="269">
                  <c:v>1.00700060426043</c:v>
                </c:pt>
                <c:pt idx="270">
                  <c:v>0.99567656000728999</c:v>
                </c:pt>
                <c:pt idx="271">
                  <c:v>0.995304675806161</c:v>
                </c:pt>
                <c:pt idx="273">
                  <c:v>0.99447013638024395</c:v>
                </c:pt>
                <c:pt idx="274">
                  <c:v>1.02080615402</c:v>
                </c:pt>
                <c:pt idx="275">
                  <c:v>0.99555963916776502</c:v>
                </c:pt>
                <c:pt idx="276">
                  <c:v>0.97567562772196403</c:v>
                </c:pt>
                <c:pt idx="277">
                  <c:v>0.92195119353745802</c:v>
                </c:pt>
                <c:pt idx="278">
                  <c:v>1.0131378998627001</c:v>
                </c:pt>
                <c:pt idx="279">
                  <c:v>0.97111630631958101</c:v>
                </c:pt>
                <c:pt idx="280">
                  <c:v>1.5946392927333</c:v>
                </c:pt>
                <c:pt idx="281">
                  <c:v>0.97847821255012901</c:v>
                </c:pt>
                <c:pt idx="282">
                  <c:v>0.98201836876661197</c:v>
                </c:pt>
                <c:pt idx="283">
                  <c:v>0.98972198005379297</c:v>
                </c:pt>
                <c:pt idx="284">
                  <c:v>0.97994478910517402</c:v>
                </c:pt>
                <c:pt idx="285">
                  <c:v>0.996878106850273</c:v>
                </c:pt>
                <c:pt idx="286">
                  <c:v>0.92297201204038204</c:v>
                </c:pt>
                <c:pt idx="287">
                  <c:v>0.99336815371978304</c:v>
                </c:pt>
                <c:pt idx="288">
                  <c:v>0.98126828109082398</c:v>
                </c:pt>
                <c:pt idx="289">
                  <c:v>0.98891900349030204</c:v>
                </c:pt>
                <c:pt idx="290">
                  <c:v>0.99267745215178405</c:v>
                </c:pt>
                <c:pt idx="291">
                  <c:v>0.99335823172176996</c:v>
                </c:pt>
                <c:pt idx="292">
                  <c:v>0.96510536661924895</c:v>
                </c:pt>
                <c:pt idx="293">
                  <c:v>0.95449291697139405</c:v>
                </c:pt>
                <c:pt idx="294">
                  <c:v>0.93977564137630898</c:v>
                </c:pt>
                <c:pt idx="295">
                  <c:v>0.968317806678752</c:v>
                </c:pt>
                <c:pt idx="296">
                  <c:v>1.0203314366724701</c:v>
                </c:pt>
                <c:pt idx="297">
                  <c:v>1.0173048710430601</c:v>
                </c:pt>
                <c:pt idx="298">
                  <c:v>1.0036502894811199</c:v>
                </c:pt>
                <c:pt idx="299">
                  <c:v>1.0025150168888399</c:v>
                </c:pt>
                <c:pt idx="300">
                  <c:v>0.97275933634946798</c:v>
                </c:pt>
                <c:pt idx="301">
                  <c:v>0.98430081053787999</c:v>
                </c:pt>
                <c:pt idx="302">
                  <c:v>0.94410194236789302</c:v>
                </c:pt>
                <c:pt idx="303">
                  <c:v>0.97445178415682099</c:v>
                </c:pt>
                <c:pt idx="304">
                  <c:v>1.06579737872459</c:v>
                </c:pt>
                <c:pt idx="305">
                  <c:v>1.00069965582701</c:v>
                </c:pt>
                <c:pt idx="306">
                  <c:v>1.01304413063276</c:v>
                </c:pt>
                <c:pt idx="307">
                  <c:v>0.99906851109220396</c:v>
                </c:pt>
                <c:pt idx="308">
                  <c:v>0.99125225578468601</c:v>
                </c:pt>
                <c:pt idx="309">
                  <c:v>1.06955491742255</c:v>
                </c:pt>
                <c:pt idx="310">
                  <c:v>1.0106128007026001</c:v>
                </c:pt>
                <c:pt idx="311">
                  <c:v>0.99540623105155501</c:v>
                </c:pt>
                <c:pt idx="312">
                  <c:v>0.97323300903838805</c:v>
                </c:pt>
                <c:pt idx="313">
                  <c:v>0.96966122935025001</c:v>
                </c:pt>
                <c:pt idx="314">
                  <c:v>0.98837911065342099</c:v>
                </c:pt>
                <c:pt idx="315">
                  <c:v>0.95865314126710899</c:v>
                </c:pt>
                <c:pt idx="316">
                  <c:v>0.98708037473760502</c:v>
                </c:pt>
                <c:pt idx="317">
                  <c:v>1.1121185552983801</c:v>
                </c:pt>
                <c:pt idx="318">
                  <c:v>0.98254442822601695</c:v>
                </c:pt>
                <c:pt idx="319">
                  <c:v>0.989316196648103</c:v>
                </c:pt>
                <c:pt idx="320">
                  <c:v>0.97981152186919196</c:v>
                </c:pt>
                <c:pt idx="321">
                  <c:v>0.99731250741198796</c:v>
                </c:pt>
                <c:pt idx="322">
                  <c:v>1.03320777870285</c:v>
                </c:pt>
                <c:pt idx="323">
                  <c:v>0.98036423284219998</c:v>
                </c:pt>
                <c:pt idx="324">
                  <c:v>0.98639110626014204</c:v>
                </c:pt>
                <c:pt idx="325">
                  <c:v>0.95734952095436499</c:v>
                </c:pt>
                <c:pt idx="326">
                  <c:v>0.97338571666040197</c:v>
                </c:pt>
                <c:pt idx="327">
                  <c:v>1.00029564711217</c:v>
                </c:pt>
                <c:pt idx="328">
                  <c:v>0.97888864813830601</c:v>
                </c:pt>
                <c:pt idx="329">
                  <c:v>1.5812823895977599</c:v>
                </c:pt>
                <c:pt idx="330">
                  <c:v>0.99825505583539198</c:v>
                </c:pt>
                <c:pt idx="331">
                  <c:v>1.3197305092521201</c:v>
                </c:pt>
                <c:pt idx="332">
                  <c:v>1.0444232219515299</c:v>
                </c:pt>
                <c:pt idx="333">
                  <c:v>0.96653970062503003</c:v>
                </c:pt>
                <c:pt idx="334">
                  <c:v>0.99654441333586796</c:v>
                </c:pt>
                <c:pt idx="335">
                  <c:v>1.1726806010890001</c:v>
                </c:pt>
                <c:pt idx="336">
                  <c:v>1.00181221888282</c:v>
                </c:pt>
                <c:pt idx="337">
                  <c:v>0.99660726384749299</c:v>
                </c:pt>
                <c:pt idx="338">
                  <c:v>0.89681935915472399</c:v>
                </c:pt>
                <c:pt idx="339">
                  <c:v>0.99412255558031903</c:v>
                </c:pt>
                <c:pt idx="340">
                  <c:v>0.95798953607778903</c:v>
                </c:pt>
                <c:pt idx="341">
                  <c:v>0.95694444979237303</c:v>
                </c:pt>
                <c:pt idx="342">
                  <c:v>1.0003214948385899</c:v>
                </c:pt>
                <c:pt idx="343">
                  <c:v>0.98675420912452105</c:v>
                </c:pt>
                <c:pt idx="344">
                  <c:v>1.0047568495712</c:v>
                </c:pt>
                <c:pt idx="345">
                  <c:v>0.98999960353659799</c:v>
                </c:pt>
                <c:pt idx="346">
                  <c:v>0.98067303609133105</c:v>
                </c:pt>
                <c:pt idx="347">
                  <c:v>0.97866910258377904</c:v>
                </c:pt>
                <c:pt idx="348">
                  <c:v>1.08759935874576</c:v>
                </c:pt>
                <c:pt idx="349">
                  <c:v>1.0369675921352799</c:v>
                </c:pt>
                <c:pt idx="350">
                  <c:v>1.0094540500899301</c:v>
                </c:pt>
                <c:pt idx="351">
                  <c:v>0.98056885341631195</c:v>
                </c:pt>
                <c:pt idx="352">
                  <c:v>0.96092280873926295</c:v>
                </c:pt>
                <c:pt idx="353">
                  <c:v>0.96590377105454195</c:v>
                </c:pt>
                <c:pt idx="354">
                  <c:v>0.99506863498166098</c:v>
                </c:pt>
                <c:pt idx="355">
                  <c:v>0.99750713172772099</c:v>
                </c:pt>
                <c:pt idx="356">
                  <c:v>0.99338661173120402</c:v>
                </c:pt>
                <c:pt idx="357">
                  <c:v>0.99915852590896803</c:v>
                </c:pt>
                <c:pt idx="358">
                  <c:v>0.99838638441349803</c:v>
                </c:pt>
                <c:pt idx="359">
                  <c:v>0.98237985433639696</c:v>
                </c:pt>
                <c:pt idx="360">
                  <c:v>0.90291351800465303</c:v>
                </c:pt>
                <c:pt idx="361">
                  <c:v>0.94471014936439901</c:v>
                </c:pt>
                <c:pt idx="362">
                  <c:v>0.96365221508872501</c:v>
                </c:pt>
                <c:pt idx="363">
                  <c:v>1.0487835887079799</c:v>
                </c:pt>
                <c:pt idx="364">
                  <c:v>0.99364335953910599</c:v>
                </c:pt>
                <c:pt idx="365">
                  <c:v>0.99977460229494997</c:v>
                </c:pt>
                <c:pt idx="366">
                  <c:v>0.99780950286155401</c:v>
                </c:pt>
                <c:pt idx="367">
                  <c:v>0.99411019598708195</c:v>
                </c:pt>
                <c:pt idx="368">
                  <c:v>0.99439263275021395</c:v>
                </c:pt>
                <c:pt idx="369">
                  <c:v>0.96251096909636402</c:v>
                </c:pt>
                <c:pt idx="370">
                  <c:v>0.99636233910438299</c:v>
                </c:pt>
                <c:pt idx="371">
                  <c:v>1.0008908212458201</c:v>
                </c:pt>
                <c:pt idx="372">
                  <c:v>0.87414718608614395</c:v>
                </c:pt>
                <c:pt idx="373">
                  <c:v>0.95373008422622396</c:v>
                </c:pt>
                <c:pt idx="374">
                  <c:v>0.96337539109920101</c:v>
                </c:pt>
                <c:pt idx="375">
                  <c:v>0.97984764802073199</c:v>
                </c:pt>
                <c:pt idx="376">
                  <c:v>0.98960942871795099</c:v>
                </c:pt>
                <c:pt idx="377">
                  <c:v>0.93409424515994</c:v>
                </c:pt>
                <c:pt idx="378">
                  <c:v>0.99733015999668295</c:v>
                </c:pt>
                <c:pt idx="379">
                  <c:v>0.99961445277083505</c:v>
                </c:pt>
                <c:pt idx="380">
                  <c:v>1.6153025059094599</c:v>
                </c:pt>
                <c:pt idx="381">
                  <c:v>0.99280798257593095</c:v>
                </c:pt>
                <c:pt idx="382">
                  <c:v>0.98811491073322599</c:v>
                </c:pt>
                <c:pt idx="383">
                  <c:v>0.97000147771779699</c:v>
                </c:pt>
                <c:pt idx="384">
                  <c:v>0.96027039778260803</c:v>
                </c:pt>
                <c:pt idx="385">
                  <c:v>0.93997884437074597</c:v>
                </c:pt>
                <c:pt idx="386">
                  <c:v>0.99143390482910898</c:v>
                </c:pt>
                <c:pt idx="387">
                  <c:v>1.0018001263454599</c:v>
                </c:pt>
                <c:pt idx="388">
                  <c:v>0.92043230676701604</c:v>
                </c:pt>
                <c:pt idx="389">
                  <c:v>1.8801822649525901</c:v>
                </c:pt>
                <c:pt idx="390">
                  <c:v>1.0014523475617201</c:v>
                </c:pt>
                <c:pt idx="391">
                  <c:v>1.0000897895274501</c:v>
                </c:pt>
                <c:pt idx="392">
                  <c:v>0.97962054062537296</c:v>
                </c:pt>
                <c:pt idx="393">
                  <c:v>0.98010855453930201</c:v>
                </c:pt>
                <c:pt idx="394">
                  <c:v>0.98234937298388103</c:v>
                </c:pt>
                <c:pt idx="395">
                  <c:v>1.16317883016382</c:v>
                </c:pt>
                <c:pt idx="396">
                  <c:v>0.98635020990509104</c:v>
                </c:pt>
                <c:pt idx="397">
                  <c:v>0.99578687561952095</c:v>
                </c:pt>
                <c:pt idx="398">
                  <c:v>0.95713003501401095</c:v>
                </c:pt>
                <c:pt idx="399">
                  <c:v>0.88899316013563601</c:v>
                </c:pt>
                <c:pt idx="400">
                  <c:v>1.3193779143062401</c:v>
                </c:pt>
                <c:pt idx="401">
                  <c:v>0.99332758113381703</c:v>
                </c:pt>
                <c:pt idx="402">
                  <c:v>0.99831019114735997</c:v>
                </c:pt>
                <c:pt idx="403">
                  <c:v>1.0059042494491499</c:v>
                </c:pt>
                <c:pt idx="404">
                  <c:v>1.16526167760108</c:v>
                </c:pt>
                <c:pt idx="405">
                  <c:v>0.99930373358329705</c:v>
                </c:pt>
                <c:pt idx="406">
                  <c:v>1.0140211548960201</c:v>
                </c:pt>
                <c:pt idx="407">
                  <c:v>0.99376656689683196</c:v>
                </c:pt>
                <c:pt idx="408">
                  <c:v>0.97849607486618795</c:v>
                </c:pt>
                <c:pt idx="409">
                  <c:v>0.98597267976297798</c:v>
                </c:pt>
                <c:pt idx="410">
                  <c:v>0.96774348254843701</c:v>
                </c:pt>
                <c:pt idx="411">
                  <c:v>0.96205435412237905</c:v>
                </c:pt>
                <c:pt idx="412">
                  <c:v>0.93703352154612696</c:v>
                </c:pt>
                <c:pt idx="413">
                  <c:v>0.97011958338778903</c:v>
                </c:pt>
                <c:pt idx="414">
                  <c:v>0.99032398646966202</c:v>
                </c:pt>
                <c:pt idx="415">
                  <c:v>0.98514757241412798</c:v>
                </c:pt>
                <c:pt idx="416">
                  <c:v>1.00184217587559</c:v>
                </c:pt>
                <c:pt idx="417">
                  <c:v>0.98074065248939901</c:v>
                </c:pt>
                <c:pt idx="418">
                  <c:v>0.94192122482055796</c:v>
                </c:pt>
                <c:pt idx="419">
                  <c:v>0.96842076371161001</c:v>
                </c:pt>
                <c:pt idx="420">
                  <c:v>0.94755581541412603</c:v>
                </c:pt>
                <c:pt idx="421">
                  <c:v>0.97472215315046495</c:v>
                </c:pt>
                <c:pt idx="422">
                  <c:v>0.98936742790079801</c:v>
                </c:pt>
                <c:pt idx="423">
                  <c:v>0.99999999996464395</c:v>
                </c:pt>
                <c:pt idx="424">
                  <c:v>0.99642134229323898</c:v>
                </c:pt>
                <c:pt idx="425">
                  <c:v>1.0018166232646699</c:v>
                </c:pt>
                <c:pt idx="426">
                  <c:v>0.97783704290214002</c:v>
                </c:pt>
                <c:pt idx="427">
                  <c:v>0.97892792864107703</c:v>
                </c:pt>
                <c:pt idx="428">
                  <c:v>0.99761555724686501</c:v>
                </c:pt>
                <c:pt idx="429">
                  <c:v>0.99018390921897703</c:v>
                </c:pt>
                <c:pt idx="430">
                  <c:v>0.972484356181473</c:v>
                </c:pt>
                <c:pt idx="431">
                  <c:v>0.99477302166971904</c:v>
                </c:pt>
                <c:pt idx="432">
                  <c:v>0.966821440786377</c:v>
                </c:pt>
                <c:pt idx="433">
                  <c:v>0.957325727317064</c:v>
                </c:pt>
                <c:pt idx="434">
                  <c:v>0.98389370159102096</c:v>
                </c:pt>
                <c:pt idx="435">
                  <c:v>1.0014151588971201</c:v>
                </c:pt>
                <c:pt idx="436">
                  <c:v>0.98800130993514301</c:v>
                </c:pt>
                <c:pt idx="437">
                  <c:v>0.99630253028397597</c:v>
                </c:pt>
                <c:pt idx="438">
                  <c:v>1.0237388703466801</c:v>
                </c:pt>
                <c:pt idx="439">
                  <c:v>4.2939516156048798</c:v>
                </c:pt>
                <c:pt idx="440">
                  <c:v>0.95792657917146795</c:v>
                </c:pt>
                <c:pt idx="441">
                  <c:v>1.01120892612626</c:v>
                </c:pt>
                <c:pt idx="442">
                  <c:v>0.98225654494152403</c:v>
                </c:pt>
                <c:pt idx="443">
                  <c:v>0.94922152663024395</c:v>
                </c:pt>
                <c:pt idx="444">
                  <c:v>0.991188551446471</c:v>
                </c:pt>
                <c:pt idx="445">
                  <c:v>0.93612068680828597</c:v>
                </c:pt>
                <c:pt idx="447">
                  <c:v>0.97144766673968097</c:v>
                </c:pt>
                <c:pt idx="448">
                  <c:v>0.98127740496395899</c:v>
                </c:pt>
                <c:pt idx="449">
                  <c:v>0.99847866846878897</c:v>
                </c:pt>
                <c:pt idx="450">
                  <c:v>0.99539553219332599</c:v>
                </c:pt>
                <c:pt idx="451">
                  <c:v>1.00567869177723</c:v>
                </c:pt>
                <c:pt idx="452">
                  <c:v>0.91995957364618197</c:v>
                </c:pt>
                <c:pt idx="453">
                  <c:v>1.00599653068393</c:v>
                </c:pt>
                <c:pt idx="454">
                  <c:v>1.0039140522101599</c:v>
                </c:pt>
                <c:pt idx="455">
                  <c:v>0.97288990207020798</c:v>
                </c:pt>
                <c:pt idx="456">
                  <c:v>1.00226998381776</c:v>
                </c:pt>
                <c:pt idx="457">
                  <c:v>1.00652106989699</c:v>
                </c:pt>
                <c:pt idx="458">
                  <c:v>0.94966408924065804</c:v>
                </c:pt>
                <c:pt idx="459">
                  <c:v>0.99749704402609496</c:v>
                </c:pt>
                <c:pt idx="460">
                  <c:v>0.97161874307954399</c:v>
                </c:pt>
                <c:pt idx="461">
                  <c:v>0.99822191917645597</c:v>
                </c:pt>
                <c:pt idx="462">
                  <c:v>0.99969528181430201</c:v>
                </c:pt>
                <c:pt idx="463">
                  <c:v>0.98444153201474005</c:v>
                </c:pt>
                <c:pt idx="464">
                  <c:v>0.99562615576447799</c:v>
                </c:pt>
                <c:pt idx="465">
                  <c:v>0.95436066746814596</c:v>
                </c:pt>
                <c:pt idx="466">
                  <c:v>0.95360597219818599</c:v>
                </c:pt>
                <c:pt idx="467">
                  <c:v>1.02596261148135</c:v>
                </c:pt>
                <c:pt idx="468">
                  <c:v>1.2040887089363901</c:v>
                </c:pt>
                <c:pt idx="469">
                  <c:v>0.95315358360024505</c:v>
                </c:pt>
                <c:pt idx="470">
                  <c:v>1.0011268300218901</c:v>
                </c:pt>
                <c:pt idx="471">
                  <c:v>0.96240075993166996</c:v>
                </c:pt>
                <c:pt idx="472">
                  <c:v>0.91871339066000801</c:v>
                </c:pt>
                <c:pt idx="473">
                  <c:v>0.99765416974258303</c:v>
                </c:pt>
                <c:pt idx="474">
                  <c:v>0.97386832187637296</c:v>
                </c:pt>
                <c:pt idx="475">
                  <c:v>1.0004504536373899</c:v>
                </c:pt>
                <c:pt idx="476">
                  <c:v>0.99773389277084601</c:v>
                </c:pt>
                <c:pt idx="477">
                  <c:v>1.1474451351511901</c:v>
                </c:pt>
                <c:pt idx="478">
                  <c:v>0.92518655198879796</c:v>
                </c:pt>
                <c:pt idx="479">
                  <c:v>1.0245493784542701</c:v>
                </c:pt>
                <c:pt idx="480">
                  <c:v>1.0013896047038999</c:v>
                </c:pt>
                <c:pt idx="481">
                  <c:v>0.99574277339116701</c:v>
                </c:pt>
                <c:pt idx="482">
                  <c:v>1.0398964303795699</c:v>
                </c:pt>
                <c:pt idx="483">
                  <c:v>1.0008769603866201</c:v>
                </c:pt>
                <c:pt idx="484">
                  <c:v>0.98702346249989903</c:v>
                </c:pt>
                <c:pt idx="485">
                  <c:v>0.98661982890269895</c:v>
                </c:pt>
                <c:pt idx="486">
                  <c:v>0.97198469350261296</c:v>
                </c:pt>
                <c:pt idx="487">
                  <c:v>1.00009308111827</c:v>
                </c:pt>
                <c:pt idx="488">
                  <c:v>1.0036202849637701</c:v>
                </c:pt>
                <c:pt idx="489">
                  <c:v>1.02240913816247</c:v>
                </c:pt>
                <c:pt idx="490">
                  <c:v>1.1036222940362499</c:v>
                </c:pt>
                <c:pt idx="491">
                  <c:v>0.97506157232310897</c:v>
                </c:pt>
                <c:pt idx="492">
                  <c:v>0.93385518781106502</c:v>
                </c:pt>
                <c:pt idx="493">
                  <c:v>0.97436410152980002</c:v>
                </c:pt>
                <c:pt idx="494">
                  <c:v>0.99999999996464395</c:v>
                </c:pt>
                <c:pt idx="495">
                  <c:v>0.988634069622782</c:v>
                </c:pt>
                <c:pt idx="496">
                  <c:v>0.93320227434317804</c:v>
                </c:pt>
                <c:pt idx="497">
                  <c:v>1.1014496904457101</c:v>
                </c:pt>
                <c:pt idx="498">
                  <c:v>0.99707775132168697</c:v>
                </c:pt>
                <c:pt idx="499">
                  <c:v>0.95104087198279197</c:v>
                </c:pt>
                <c:pt idx="500">
                  <c:v>0.97682899824112801</c:v>
                </c:pt>
                <c:pt idx="501">
                  <c:v>0.93325813319294204</c:v>
                </c:pt>
                <c:pt idx="502">
                  <c:v>0.92844995949898201</c:v>
                </c:pt>
                <c:pt idx="503">
                  <c:v>0.962900450501601</c:v>
                </c:pt>
                <c:pt idx="504">
                  <c:v>0.99334154987034695</c:v>
                </c:pt>
                <c:pt idx="505">
                  <c:v>0.95581606483894499</c:v>
                </c:pt>
                <c:pt idx="506">
                  <c:v>1.00174990981245</c:v>
                </c:pt>
                <c:pt idx="507">
                  <c:v>1.00781360020142</c:v>
                </c:pt>
                <c:pt idx="508">
                  <c:v>0.92332011544951997</c:v>
                </c:pt>
                <c:pt idx="509">
                  <c:v>1.00199799531279</c:v>
                </c:pt>
                <c:pt idx="510">
                  <c:v>0.96928269052104699</c:v>
                </c:pt>
                <c:pt idx="511">
                  <c:v>0.97086673036719295</c:v>
                </c:pt>
                <c:pt idx="512">
                  <c:v>0.98335264841831505</c:v>
                </c:pt>
                <c:pt idx="513">
                  <c:v>1.25591190707782</c:v>
                </c:pt>
                <c:pt idx="514">
                  <c:v>1.1135893604813101</c:v>
                </c:pt>
                <c:pt idx="515">
                  <c:v>0.99984591996595795</c:v>
                </c:pt>
                <c:pt idx="516">
                  <c:v>1.0166229544263501</c:v>
                </c:pt>
                <c:pt idx="517">
                  <c:v>0.94956312060912995</c:v>
                </c:pt>
                <c:pt idx="518">
                  <c:v>0.97943247867376304</c:v>
                </c:pt>
                <c:pt idx="519">
                  <c:v>0.99851586308893703</c:v>
                </c:pt>
                <c:pt idx="520">
                  <c:v>0.96489989064074899</c:v>
                </c:pt>
                <c:pt idx="521">
                  <c:v>1.00204058564679</c:v>
                </c:pt>
                <c:pt idx="522">
                  <c:v>1.00040636459814</c:v>
                </c:pt>
                <c:pt idx="523">
                  <c:v>1.00446712451455</c:v>
                </c:pt>
                <c:pt idx="524">
                  <c:v>0.99800011350010798</c:v>
                </c:pt>
                <c:pt idx="525">
                  <c:v>1.0287647207819</c:v>
                </c:pt>
                <c:pt idx="526">
                  <c:v>0.99425420563884404</c:v>
                </c:pt>
                <c:pt idx="527">
                  <c:v>0.99271330218781695</c:v>
                </c:pt>
                <c:pt idx="528">
                  <c:v>0.99458031376369704</c:v>
                </c:pt>
                <c:pt idx="529">
                  <c:v>0.99247719153886005</c:v>
                </c:pt>
                <c:pt idx="530">
                  <c:v>1.6255708870026799</c:v>
                </c:pt>
                <c:pt idx="531">
                  <c:v>1.0021591000380199</c:v>
                </c:pt>
                <c:pt idx="532">
                  <c:v>0.960861275498478</c:v>
                </c:pt>
                <c:pt idx="533">
                  <c:v>0.99913016241936703</c:v>
                </c:pt>
                <c:pt idx="534">
                  <c:v>0.99442986368541297</c:v>
                </c:pt>
                <c:pt idx="535">
                  <c:v>0.97866541760304004</c:v>
                </c:pt>
                <c:pt idx="536">
                  <c:v>0.95681020601003697</c:v>
                </c:pt>
                <c:pt idx="537">
                  <c:v>0.99811755588181705</c:v>
                </c:pt>
                <c:pt idx="538">
                  <c:v>1.49274116526967</c:v>
                </c:pt>
                <c:pt idx="539">
                  <c:v>0.97467422702103301</c:v>
                </c:pt>
                <c:pt idx="540">
                  <c:v>0.94826649492741499</c:v>
                </c:pt>
                <c:pt idx="541">
                  <c:v>1.00660836317809</c:v>
                </c:pt>
                <c:pt idx="542">
                  <c:v>1.01737794461967</c:v>
                </c:pt>
                <c:pt idx="543">
                  <c:v>0.99226522951109897</c:v>
                </c:pt>
                <c:pt idx="544">
                  <c:v>0.97933871256293803</c:v>
                </c:pt>
                <c:pt idx="545">
                  <c:v>0.99933226676704801</c:v>
                </c:pt>
                <c:pt idx="546">
                  <c:v>0.99312515944121604</c:v>
                </c:pt>
                <c:pt idx="547">
                  <c:v>0.99781474913453405</c:v>
                </c:pt>
                <c:pt idx="548">
                  <c:v>0.96921341136382699</c:v>
                </c:pt>
                <c:pt idx="549">
                  <c:v>1.0424525402007301</c:v>
                </c:pt>
                <c:pt idx="551">
                  <c:v>0.99984941353317003</c:v>
                </c:pt>
                <c:pt idx="552">
                  <c:v>0.96503420135447304</c:v>
                </c:pt>
                <c:pt idx="553">
                  <c:v>0.95138110251465602</c:v>
                </c:pt>
                <c:pt idx="554">
                  <c:v>0.95065649658720097</c:v>
                </c:pt>
                <c:pt idx="555">
                  <c:v>1.0019168706688999</c:v>
                </c:pt>
                <c:pt idx="556">
                  <c:v>1.0024375654602</c:v>
                </c:pt>
                <c:pt idx="557">
                  <c:v>0.99305918808023297</c:v>
                </c:pt>
                <c:pt idx="558">
                  <c:v>0.983885756591386</c:v>
                </c:pt>
                <c:pt idx="559">
                  <c:v>2.05861821588051</c:v>
                </c:pt>
                <c:pt idx="560">
                  <c:v>0.98928428906015498</c:v>
                </c:pt>
                <c:pt idx="561">
                  <c:v>0.97788937688531896</c:v>
                </c:pt>
                <c:pt idx="562">
                  <c:v>1.0566870832440001</c:v>
                </c:pt>
                <c:pt idx="563">
                  <c:v>0.93662434433166897</c:v>
                </c:pt>
                <c:pt idx="564">
                  <c:v>0.96439773030653198</c:v>
                </c:pt>
                <c:pt idx="565">
                  <c:v>0.89393415428419198</c:v>
                </c:pt>
                <c:pt idx="566">
                  <c:v>0.97091131603808001</c:v>
                </c:pt>
                <c:pt idx="567">
                  <c:v>1.2870618847398401</c:v>
                </c:pt>
                <c:pt idx="568">
                  <c:v>1.0000748119798399</c:v>
                </c:pt>
                <c:pt idx="569">
                  <c:v>0.99559794535290802</c:v>
                </c:pt>
                <c:pt idx="570">
                  <c:v>0.97405193476992202</c:v>
                </c:pt>
                <c:pt idx="571">
                  <c:v>0.97449749235817196</c:v>
                </c:pt>
                <c:pt idx="572">
                  <c:v>0.95584865886067405</c:v>
                </c:pt>
                <c:pt idx="573">
                  <c:v>1.35342215731283</c:v>
                </c:pt>
                <c:pt idx="574">
                  <c:v>0.97692312723688701</c:v>
                </c:pt>
                <c:pt idx="575">
                  <c:v>0.98372042917311098</c:v>
                </c:pt>
                <c:pt idx="576">
                  <c:v>0.99481591219785603</c:v>
                </c:pt>
                <c:pt idx="577">
                  <c:v>0.95560114555318498</c:v>
                </c:pt>
                <c:pt idx="578">
                  <c:v>0.97893634991268696</c:v>
                </c:pt>
                <c:pt idx="579">
                  <c:v>0.97949798488069595</c:v>
                </c:pt>
                <c:pt idx="580">
                  <c:v>0.99268771272760603</c:v>
                </c:pt>
                <c:pt idx="581">
                  <c:v>0.94407626115888699</c:v>
                </c:pt>
                <c:pt idx="582">
                  <c:v>1.0001001981183399</c:v>
                </c:pt>
                <c:pt idx="583">
                  <c:v>0.97074243532773896</c:v>
                </c:pt>
                <c:pt idx="584">
                  <c:v>1.6631185283751699</c:v>
                </c:pt>
                <c:pt idx="585">
                  <c:v>0.99860042273531802</c:v>
                </c:pt>
                <c:pt idx="586">
                  <c:v>0.99922706756834601</c:v>
                </c:pt>
                <c:pt idx="587">
                  <c:v>0.99064958628073896</c:v>
                </c:pt>
                <c:pt idx="588">
                  <c:v>1.5931044761656801</c:v>
                </c:pt>
                <c:pt idx="589">
                  <c:v>0.98935128448448095</c:v>
                </c:pt>
                <c:pt idx="590">
                  <c:v>0.97476454458335005</c:v>
                </c:pt>
                <c:pt idx="591">
                  <c:v>1.35372931526066</c:v>
                </c:pt>
                <c:pt idx="592">
                  <c:v>0.99184057580266105</c:v>
                </c:pt>
                <c:pt idx="593">
                  <c:v>0.98402145901670202</c:v>
                </c:pt>
                <c:pt idx="594">
                  <c:v>1.0062365871105701</c:v>
                </c:pt>
                <c:pt idx="595">
                  <c:v>1.2037238121407099</c:v>
                </c:pt>
                <c:pt idx="596">
                  <c:v>0.96305625854105703</c:v>
                </c:pt>
                <c:pt idx="597">
                  <c:v>0.94130285945627501</c:v>
                </c:pt>
                <c:pt idx="598">
                  <c:v>1.0145331430315701</c:v>
                </c:pt>
                <c:pt idx="599">
                  <c:v>0.99190565139110298</c:v>
                </c:pt>
                <c:pt idx="600">
                  <c:v>0.99730824498817605</c:v>
                </c:pt>
                <c:pt idx="601">
                  <c:v>1.15698971548555</c:v>
                </c:pt>
                <c:pt idx="602">
                  <c:v>1.20014634134224</c:v>
                </c:pt>
                <c:pt idx="603">
                  <c:v>1.00334724095685</c:v>
                </c:pt>
                <c:pt idx="604">
                  <c:v>0.99628973588366698</c:v>
                </c:pt>
                <c:pt idx="605">
                  <c:v>0.92452478694959095</c:v>
                </c:pt>
                <c:pt idx="606">
                  <c:v>0.98327012272146097</c:v>
                </c:pt>
                <c:pt idx="607">
                  <c:v>1.00888584355066</c:v>
                </c:pt>
                <c:pt idx="608">
                  <c:v>1.0040595625655899</c:v>
                </c:pt>
                <c:pt idx="609">
                  <c:v>1.0009942098423099</c:v>
                </c:pt>
                <c:pt idx="610">
                  <c:v>0.99827891484760201</c:v>
                </c:pt>
                <c:pt idx="611">
                  <c:v>0.99908029639741602</c:v>
                </c:pt>
                <c:pt idx="612">
                  <c:v>1.2674114619741501</c:v>
                </c:pt>
                <c:pt idx="613">
                  <c:v>0.99166011328252202</c:v>
                </c:pt>
                <c:pt idx="614">
                  <c:v>0.99904286499656603</c:v>
                </c:pt>
                <c:pt idx="615">
                  <c:v>0.96747991044898696</c:v>
                </c:pt>
                <c:pt idx="616">
                  <c:v>0.99875951804585905</c:v>
                </c:pt>
                <c:pt idx="617">
                  <c:v>0.91969114491461701</c:v>
                </c:pt>
                <c:pt idx="618">
                  <c:v>0.98025358637140003</c:v>
                </c:pt>
                <c:pt idx="619">
                  <c:v>0.95752190609064103</c:v>
                </c:pt>
                <c:pt idx="620">
                  <c:v>0.98507086219233397</c:v>
                </c:pt>
                <c:pt idx="621">
                  <c:v>0.98372156521919096</c:v>
                </c:pt>
                <c:pt idx="622">
                  <c:v>1.06791693700068</c:v>
                </c:pt>
                <c:pt idx="623">
                  <c:v>0.99052561947384399</c:v>
                </c:pt>
                <c:pt idx="624">
                  <c:v>0.98564841435240802</c:v>
                </c:pt>
                <c:pt idx="625">
                  <c:v>0.970173261846628</c:v>
                </c:pt>
                <c:pt idx="626">
                  <c:v>0.99853017164253599</c:v>
                </c:pt>
                <c:pt idx="627">
                  <c:v>1.03770314271872</c:v>
                </c:pt>
                <c:pt idx="628">
                  <c:v>0.90746958408753597</c:v>
                </c:pt>
                <c:pt idx="629">
                  <c:v>2.6789658335987498</c:v>
                </c:pt>
                <c:pt idx="630">
                  <c:v>0.99033794164766398</c:v>
                </c:pt>
                <c:pt idx="631">
                  <c:v>1.00113117688661</c:v>
                </c:pt>
                <c:pt idx="632">
                  <c:v>1.0493481693467701</c:v>
                </c:pt>
                <c:pt idx="633">
                  <c:v>0.94426126939539301</c:v>
                </c:pt>
                <c:pt idx="634">
                  <c:v>1.0302561945044999</c:v>
                </c:pt>
                <c:pt idx="635">
                  <c:v>0.99605586946090097</c:v>
                </c:pt>
                <c:pt idx="636">
                  <c:v>0.97088621783465801</c:v>
                </c:pt>
                <c:pt idx="637">
                  <c:v>0.99297825755025404</c:v>
                </c:pt>
                <c:pt idx="638">
                  <c:v>0.99875656880797903</c:v>
                </c:pt>
                <c:pt idx="639">
                  <c:v>1.0973315026409101</c:v>
                </c:pt>
                <c:pt idx="640">
                  <c:v>0.98833270086587999</c:v>
                </c:pt>
                <c:pt idx="641">
                  <c:v>0.97401295941979205</c:v>
                </c:pt>
                <c:pt idx="642">
                  <c:v>0.96683613551000602</c:v>
                </c:pt>
                <c:pt idx="643">
                  <c:v>0.99751900446320896</c:v>
                </c:pt>
                <c:pt idx="644">
                  <c:v>1.00422436340322</c:v>
                </c:pt>
                <c:pt idx="645">
                  <c:v>0.96302417913412997</c:v>
                </c:pt>
                <c:pt idx="646">
                  <c:v>1.0006290836762901</c:v>
                </c:pt>
                <c:pt idx="647">
                  <c:v>1.0008221198990801</c:v>
                </c:pt>
                <c:pt idx="648">
                  <c:v>0.98921994640047595</c:v>
                </c:pt>
                <c:pt idx="649">
                  <c:v>1.0388467650264399</c:v>
                </c:pt>
                <c:pt idx="650">
                  <c:v>0.99641871700100404</c:v>
                </c:pt>
                <c:pt idx="651">
                  <c:v>0.98581007910932605</c:v>
                </c:pt>
                <c:pt idx="652">
                  <c:v>0.98055317391573804</c:v>
                </c:pt>
                <c:pt idx="653">
                  <c:v>0.99798958155719697</c:v>
                </c:pt>
                <c:pt idx="654">
                  <c:v>0.99102862237612799</c:v>
                </c:pt>
                <c:pt idx="655">
                  <c:v>0.96571423805998802</c:v>
                </c:pt>
                <c:pt idx="656">
                  <c:v>0.99883218775426297</c:v>
                </c:pt>
                <c:pt idx="657">
                  <c:v>1.35523858052527</c:v>
                </c:pt>
                <c:pt idx="658">
                  <c:v>5.8989618360139904</c:v>
                </c:pt>
                <c:pt idx="659">
                  <c:v>0.93406256505604401</c:v>
                </c:pt>
                <c:pt idx="660">
                  <c:v>0.99178235643105295</c:v>
                </c:pt>
                <c:pt idx="661">
                  <c:v>0.95803246050414403</c:v>
                </c:pt>
                <c:pt idx="662">
                  <c:v>0.95740196623615303</c:v>
                </c:pt>
                <c:pt idx="663">
                  <c:v>1.0298188463398199</c:v>
                </c:pt>
                <c:pt idx="664">
                  <c:v>1.2739945187072701</c:v>
                </c:pt>
                <c:pt idx="665">
                  <c:v>0.99844735428752596</c:v>
                </c:pt>
                <c:pt idx="666">
                  <c:v>0.98767896515056897</c:v>
                </c:pt>
                <c:pt idx="667">
                  <c:v>0.97021297449658195</c:v>
                </c:pt>
                <c:pt idx="668">
                  <c:v>0.99482586468620104</c:v>
                </c:pt>
                <c:pt idx="669">
                  <c:v>0.95967477272826296</c:v>
                </c:pt>
                <c:pt idx="670">
                  <c:v>0.96771036829451995</c:v>
                </c:pt>
                <c:pt idx="671">
                  <c:v>0.99484719202435201</c:v>
                </c:pt>
                <c:pt idx="672">
                  <c:v>0.993827523258622</c:v>
                </c:pt>
                <c:pt idx="673">
                  <c:v>0.992918691910184</c:v>
                </c:pt>
                <c:pt idx="674">
                  <c:v>0.99261185063574098</c:v>
                </c:pt>
                <c:pt idx="675">
                  <c:v>0.93206963827887201</c:v>
                </c:pt>
                <c:pt idx="676">
                  <c:v>0.99646743733193299</c:v>
                </c:pt>
                <c:pt idx="677">
                  <c:v>1.48879266588968</c:v>
                </c:pt>
                <c:pt idx="678">
                  <c:v>0.97120843998109396</c:v>
                </c:pt>
                <c:pt idx="679">
                  <c:v>0.96663924039486204</c:v>
                </c:pt>
                <c:pt idx="680">
                  <c:v>0.98372060948579998</c:v>
                </c:pt>
                <c:pt idx="681">
                  <c:v>1.04012776308794</c:v>
                </c:pt>
                <c:pt idx="682">
                  <c:v>0.99987007773613601</c:v>
                </c:pt>
                <c:pt idx="683">
                  <c:v>0.98053757146826903</c:v>
                </c:pt>
                <c:pt idx="684">
                  <c:v>0.97165768036260203</c:v>
                </c:pt>
                <c:pt idx="685">
                  <c:v>2.3274942914841499</c:v>
                </c:pt>
                <c:pt idx="686">
                  <c:v>0.96756721392190104</c:v>
                </c:pt>
                <c:pt idx="687">
                  <c:v>0.98974415184614695</c:v>
                </c:pt>
                <c:pt idx="688">
                  <c:v>0.98364869096551499</c:v>
                </c:pt>
                <c:pt idx="689">
                  <c:v>1.0049316644539901</c:v>
                </c:pt>
                <c:pt idx="690">
                  <c:v>0.97039130862719702</c:v>
                </c:pt>
                <c:pt idx="691">
                  <c:v>0.99177296491681899</c:v>
                </c:pt>
                <c:pt idx="692">
                  <c:v>1.01548814324169</c:v>
                </c:pt>
                <c:pt idx="693">
                  <c:v>0.93087076821672399</c:v>
                </c:pt>
                <c:pt idx="694">
                  <c:v>0.99871243831479095</c:v>
                </c:pt>
                <c:pt idx="695">
                  <c:v>0.997636824212776</c:v>
                </c:pt>
                <c:pt idx="696">
                  <c:v>0.99709258650592003</c:v>
                </c:pt>
                <c:pt idx="697">
                  <c:v>0.99608889093281805</c:v>
                </c:pt>
                <c:pt idx="698">
                  <c:v>1.0014559685886999</c:v>
                </c:pt>
                <c:pt idx="699">
                  <c:v>0.996575747650296</c:v>
                </c:pt>
                <c:pt idx="700">
                  <c:v>0.96682187620486904</c:v>
                </c:pt>
                <c:pt idx="701">
                  <c:v>0.97523887110282503</c:v>
                </c:pt>
                <c:pt idx="702">
                  <c:v>1.0019665685482599</c:v>
                </c:pt>
                <c:pt idx="703">
                  <c:v>0.99738979801738603</c:v>
                </c:pt>
                <c:pt idx="704">
                  <c:v>0.97105433626072302</c:v>
                </c:pt>
                <c:pt idx="705">
                  <c:v>0.98370045799158401</c:v>
                </c:pt>
                <c:pt idx="706">
                  <c:v>0.99557292986521095</c:v>
                </c:pt>
                <c:pt idx="707">
                  <c:v>0.98676244797702894</c:v>
                </c:pt>
                <c:pt idx="708">
                  <c:v>0.91204171704264303</c:v>
                </c:pt>
                <c:pt idx="709">
                  <c:v>0.99922497077630901</c:v>
                </c:pt>
                <c:pt idx="710">
                  <c:v>0.99408645486290903</c:v>
                </c:pt>
                <c:pt idx="711">
                  <c:v>0.96734117035049505</c:v>
                </c:pt>
                <c:pt idx="712">
                  <c:v>1.0001519143618101</c:v>
                </c:pt>
                <c:pt idx="713">
                  <c:v>0.99559275279107096</c:v>
                </c:pt>
                <c:pt idx="714">
                  <c:v>1.0049579815758001</c:v>
                </c:pt>
                <c:pt idx="715">
                  <c:v>0.99476159648712204</c:v>
                </c:pt>
                <c:pt idx="716">
                  <c:v>0.97851100427290005</c:v>
                </c:pt>
                <c:pt idx="717">
                  <c:v>0.96810008091131206</c:v>
                </c:pt>
                <c:pt idx="718">
                  <c:v>0.96084292320883002</c:v>
                </c:pt>
                <c:pt idx="719">
                  <c:v>1.0409273930863101</c:v>
                </c:pt>
                <c:pt idx="720">
                  <c:v>0.97080867822346395</c:v>
                </c:pt>
                <c:pt idx="721">
                  <c:v>1.0017572202446401</c:v>
                </c:pt>
                <c:pt idx="722">
                  <c:v>1.0036569597315801</c:v>
                </c:pt>
                <c:pt idx="723">
                  <c:v>1.00221112029768</c:v>
                </c:pt>
                <c:pt idx="724">
                  <c:v>0.99183153926378498</c:v>
                </c:pt>
                <c:pt idx="725">
                  <c:v>1.0040489490312801</c:v>
                </c:pt>
                <c:pt idx="726">
                  <c:v>0.99218266721377302</c:v>
                </c:pt>
                <c:pt idx="727">
                  <c:v>0.97259178675111602</c:v>
                </c:pt>
                <c:pt idx="728">
                  <c:v>0.99502277992231003</c:v>
                </c:pt>
                <c:pt idx="729">
                  <c:v>0.97839753175691002</c:v>
                </c:pt>
                <c:pt idx="730">
                  <c:v>1.0065482989822601</c:v>
                </c:pt>
                <c:pt idx="731">
                  <c:v>0.94264866177446904</c:v>
                </c:pt>
                <c:pt idx="733">
                  <c:v>0.99459543309565601</c:v>
                </c:pt>
                <c:pt idx="734">
                  <c:v>1.00170628771305</c:v>
                </c:pt>
                <c:pt idx="735">
                  <c:v>0.984784921746372</c:v>
                </c:pt>
                <c:pt idx="736">
                  <c:v>0.99617901059092195</c:v>
                </c:pt>
                <c:pt idx="737">
                  <c:v>0.92404382684364605</c:v>
                </c:pt>
                <c:pt idx="738">
                  <c:v>1.002334668929</c:v>
                </c:pt>
                <c:pt idx="739">
                  <c:v>1.00472035427756</c:v>
                </c:pt>
                <c:pt idx="740">
                  <c:v>1.00808481355775</c:v>
                </c:pt>
                <c:pt idx="741">
                  <c:v>0.96312081042106701</c:v>
                </c:pt>
                <c:pt idx="742">
                  <c:v>0.97211350988353895</c:v>
                </c:pt>
                <c:pt idx="743">
                  <c:v>0.99994239402095597</c:v>
                </c:pt>
                <c:pt idx="744">
                  <c:v>0.99251673583830502</c:v>
                </c:pt>
                <c:pt idx="745">
                  <c:v>0.96899050298145095</c:v>
                </c:pt>
                <c:pt idx="746">
                  <c:v>0.99439840019470405</c:v>
                </c:pt>
                <c:pt idx="747">
                  <c:v>0.98339118115867896</c:v>
                </c:pt>
                <c:pt idx="748">
                  <c:v>1.0037560399169001</c:v>
                </c:pt>
                <c:pt idx="749">
                  <c:v>0.97098145405913205</c:v>
                </c:pt>
                <c:pt idx="750">
                  <c:v>1.7549422905515</c:v>
                </c:pt>
                <c:pt idx="751">
                  <c:v>0.99177422931961201</c:v>
                </c:pt>
                <c:pt idx="752">
                  <c:v>0.99526235694274101</c:v>
                </c:pt>
                <c:pt idx="753">
                  <c:v>0.99567889576900903</c:v>
                </c:pt>
                <c:pt idx="754">
                  <c:v>1.0036980163164499</c:v>
                </c:pt>
                <c:pt idx="755">
                  <c:v>1.0047308645344499</c:v>
                </c:pt>
                <c:pt idx="756">
                  <c:v>1.0888193917640501</c:v>
                </c:pt>
                <c:pt idx="757">
                  <c:v>0.98516728489757399</c:v>
                </c:pt>
                <c:pt idx="758">
                  <c:v>1.0030097453299001</c:v>
                </c:pt>
                <c:pt idx="759">
                  <c:v>1.0000390065776701</c:v>
                </c:pt>
                <c:pt idx="760">
                  <c:v>0.93237361433234001</c:v>
                </c:pt>
                <c:pt idx="761">
                  <c:v>0.99887075640297396</c:v>
                </c:pt>
                <c:pt idx="762">
                  <c:v>1.01677077046941</c:v>
                </c:pt>
                <c:pt idx="763">
                  <c:v>0.95854114173925398</c:v>
                </c:pt>
                <c:pt idx="764">
                  <c:v>0.99775021949865195</c:v>
                </c:pt>
                <c:pt idx="765">
                  <c:v>0.93936720211328295</c:v>
                </c:pt>
                <c:pt idx="766">
                  <c:v>0.98855146213134004</c:v>
                </c:pt>
                <c:pt idx="767">
                  <c:v>0.98676708528319002</c:v>
                </c:pt>
                <c:pt idx="768">
                  <c:v>0.94454822341760603</c:v>
                </c:pt>
                <c:pt idx="769">
                  <c:v>0.99554166244645104</c:v>
                </c:pt>
                <c:pt idx="770">
                  <c:v>0.99879170403847795</c:v>
                </c:pt>
                <c:pt idx="771">
                  <c:v>0.99398947923243597</c:v>
                </c:pt>
                <c:pt idx="772">
                  <c:v>3.3521810613358598</c:v>
                </c:pt>
                <c:pt idx="773">
                  <c:v>0.98673532314966905</c:v>
                </c:pt>
                <c:pt idx="774">
                  <c:v>0.96322658046597198</c:v>
                </c:pt>
                <c:pt idx="775">
                  <c:v>1.0491711271934601</c:v>
                </c:pt>
                <c:pt idx="776">
                  <c:v>0.991713998574272</c:v>
                </c:pt>
                <c:pt idx="777">
                  <c:v>1.0040669548040499</c:v>
                </c:pt>
                <c:pt idx="778">
                  <c:v>0.97740826150960103</c:v>
                </c:pt>
                <c:pt idx="779">
                  <c:v>0.998104511637813</c:v>
                </c:pt>
                <c:pt idx="780">
                  <c:v>0.96338932461391702</c:v>
                </c:pt>
                <c:pt idx="781">
                  <c:v>0.96998633743014395</c:v>
                </c:pt>
                <c:pt idx="782">
                  <c:v>1.0006001427898401</c:v>
                </c:pt>
                <c:pt idx="783">
                  <c:v>1.00098844877757</c:v>
                </c:pt>
                <c:pt idx="784">
                  <c:v>0.99128759506724395</c:v>
                </c:pt>
                <c:pt idx="785">
                  <c:v>0.93346025764636198</c:v>
                </c:pt>
                <c:pt idx="786">
                  <c:v>1.0325557147770701</c:v>
                </c:pt>
                <c:pt idx="787">
                  <c:v>0.99924706234097505</c:v>
                </c:pt>
                <c:pt idx="788">
                  <c:v>0.99008137666393203</c:v>
                </c:pt>
                <c:pt idx="789">
                  <c:v>1.0164019113149401</c:v>
                </c:pt>
                <c:pt idx="790">
                  <c:v>0.98968529329226396</c:v>
                </c:pt>
                <c:pt idx="791">
                  <c:v>1.00352699401638</c:v>
                </c:pt>
                <c:pt idx="792">
                  <c:v>0.98925895585408496</c:v>
                </c:pt>
                <c:pt idx="793">
                  <c:v>0.93611243420315604</c:v>
                </c:pt>
                <c:pt idx="794">
                  <c:v>1.3315869109041401</c:v>
                </c:pt>
                <c:pt idx="795">
                  <c:v>0.90206534096472801</c:v>
                </c:pt>
                <c:pt idx="796">
                  <c:v>0.96889982657056295</c:v>
                </c:pt>
                <c:pt idx="797">
                  <c:v>0.96614844883550599</c:v>
                </c:pt>
                <c:pt idx="798">
                  <c:v>1.00462085186244</c:v>
                </c:pt>
                <c:pt idx="799">
                  <c:v>1.00133117246342</c:v>
                </c:pt>
                <c:pt idx="800">
                  <c:v>0.99864995657395805</c:v>
                </c:pt>
                <c:pt idx="801">
                  <c:v>0.98760399232317497</c:v>
                </c:pt>
                <c:pt idx="802">
                  <c:v>1.00002366113077</c:v>
                </c:pt>
                <c:pt idx="803">
                  <c:v>1.0001870369880399</c:v>
                </c:pt>
                <c:pt idx="804">
                  <c:v>0.99861988965054904</c:v>
                </c:pt>
                <c:pt idx="805">
                  <c:v>0.92305280752064101</c:v>
                </c:pt>
                <c:pt idx="807">
                  <c:v>0.98562864936452999</c:v>
                </c:pt>
                <c:pt idx="808">
                  <c:v>0.98628977123164996</c:v>
                </c:pt>
                <c:pt idx="809">
                  <c:v>1.0189189091116899</c:v>
                </c:pt>
                <c:pt idx="810">
                  <c:v>1.0026022195764701</c:v>
                </c:pt>
                <c:pt idx="811">
                  <c:v>0.99909323165133002</c:v>
                </c:pt>
                <c:pt idx="812">
                  <c:v>1.0038534401416299</c:v>
                </c:pt>
                <c:pt idx="813">
                  <c:v>0.97989903217015395</c:v>
                </c:pt>
                <c:pt idx="814">
                  <c:v>1.0019754708992099</c:v>
                </c:pt>
                <c:pt idx="815">
                  <c:v>0.97130258066795505</c:v>
                </c:pt>
                <c:pt idx="816">
                  <c:v>0.99674570014254904</c:v>
                </c:pt>
                <c:pt idx="817">
                  <c:v>0.951677545583548</c:v>
                </c:pt>
                <c:pt idx="818">
                  <c:v>0.99000877391630504</c:v>
                </c:pt>
                <c:pt idx="819">
                  <c:v>0.95427521219001898</c:v>
                </c:pt>
                <c:pt idx="820">
                  <c:v>1.0442491124615001</c:v>
                </c:pt>
                <c:pt idx="821">
                  <c:v>0.952077945554762</c:v>
                </c:pt>
                <c:pt idx="822">
                  <c:v>0.90279500315448502</c:v>
                </c:pt>
                <c:pt idx="823">
                  <c:v>0.94473619015120402</c:v>
                </c:pt>
                <c:pt idx="824">
                  <c:v>0.98438095483353905</c:v>
                </c:pt>
                <c:pt idx="825">
                  <c:v>0.91359944965381201</c:v>
                </c:pt>
                <c:pt idx="826">
                  <c:v>1.0001515473472999</c:v>
                </c:pt>
                <c:pt idx="827">
                  <c:v>1.0040555852914199</c:v>
                </c:pt>
                <c:pt idx="828">
                  <c:v>0.97655346674752896</c:v>
                </c:pt>
                <c:pt idx="829">
                  <c:v>0.97755800877888999</c:v>
                </c:pt>
                <c:pt idx="830">
                  <c:v>1.0084535390304801</c:v>
                </c:pt>
                <c:pt idx="831">
                  <c:v>0.97944483072575905</c:v>
                </c:pt>
                <c:pt idx="832">
                  <c:v>1.00684185800976</c:v>
                </c:pt>
                <c:pt idx="833">
                  <c:v>0.99929298775030895</c:v>
                </c:pt>
                <c:pt idx="834">
                  <c:v>0.98095580236678104</c:v>
                </c:pt>
                <c:pt idx="835">
                  <c:v>0.980838753371717</c:v>
                </c:pt>
                <c:pt idx="836">
                  <c:v>0.94285174920381098</c:v>
                </c:pt>
                <c:pt idx="837">
                  <c:v>1.0146140129479999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F-4CE8-B75B-40FB4CDAC5D9}"/>
            </c:ext>
          </c:extLst>
        </c:ser>
        <c:ser>
          <c:idx val="0"/>
          <c:order val="1"/>
          <c:tx>
            <c:strRef>
              <c:f>mc_vs_cyme!$C$1</c:f>
              <c:strCache>
                <c:ptCount val="1"/>
                <c:pt idx="0">
                  <c:v>VB_MC_mean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hade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shade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hade val="5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mc_vs_cyme!$C$2:$C$839</c:f>
              <c:numCache>
                <c:formatCode>0.00000</c:formatCode>
                <c:ptCount val="838"/>
                <c:pt idx="0">
                  <c:v>0.949001034886223</c:v>
                </c:pt>
                <c:pt idx="1">
                  <c:v>1.0906057480229601</c:v>
                </c:pt>
                <c:pt idx="2">
                  <c:v>0.977277598466058</c:v>
                </c:pt>
                <c:pt idx="3">
                  <c:v>0.96502065785920899</c:v>
                </c:pt>
                <c:pt idx="4">
                  <c:v>1.07276109516878</c:v>
                </c:pt>
                <c:pt idx="5">
                  <c:v>0.99509662920029396</c:v>
                </c:pt>
                <c:pt idx="6">
                  <c:v>1.00384981706461</c:v>
                </c:pt>
                <c:pt idx="7">
                  <c:v>1.02491293144678</c:v>
                </c:pt>
                <c:pt idx="8">
                  <c:v>0.99650766108064603</c:v>
                </c:pt>
                <c:pt idx="9">
                  <c:v>0.996955411295255</c:v>
                </c:pt>
                <c:pt idx="10">
                  <c:v>0.91448698330133604</c:v>
                </c:pt>
                <c:pt idx="11">
                  <c:v>1.0071734943808299</c:v>
                </c:pt>
                <c:pt idx="12">
                  <c:v>0.98976033471497704</c:v>
                </c:pt>
                <c:pt idx="13">
                  <c:v>0.99278165406091601</c:v>
                </c:pt>
                <c:pt idx="14">
                  <c:v>0.99917193082129396</c:v>
                </c:pt>
                <c:pt idx="15">
                  <c:v>1.00050120298448</c:v>
                </c:pt>
                <c:pt idx="16">
                  <c:v>0.94123992597665496</c:v>
                </c:pt>
                <c:pt idx="17">
                  <c:v>0.95958078685836501</c:v>
                </c:pt>
                <c:pt idx="18">
                  <c:v>1.00509316626477</c:v>
                </c:pt>
                <c:pt idx="19">
                  <c:v>0.99726872827823498</c:v>
                </c:pt>
                <c:pt idx="20">
                  <c:v>0.95015526297772701</c:v>
                </c:pt>
                <c:pt idx="21">
                  <c:v>1.0124422495046601</c:v>
                </c:pt>
                <c:pt idx="22">
                  <c:v>0.96922067312346005</c:v>
                </c:pt>
                <c:pt idx="23">
                  <c:v>1.3417129567691899</c:v>
                </c:pt>
                <c:pt idx="24">
                  <c:v>0.95245979080652599</c:v>
                </c:pt>
                <c:pt idx="25">
                  <c:v>0.99011531043192602</c:v>
                </c:pt>
                <c:pt idx="26">
                  <c:v>0.97170397260457897</c:v>
                </c:pt>
                <c:pt idx="27">
                  <c:v>0.98429196949230802</c:v>
                </c:pt>
                <c:pt idx="28">
                  <c:v>0.971137637445465</c:v>
                </c:pt>
                <c:pt idx="29">
                  <c:v>0.99116048673836898</c:v>
                </c:pt>
                <c:pt idx="30">
                  <c:v>0.950101601175251</c:v>
                </c:pt>
                <c:pt idx="31">
                  <c:v>0.99381557656276298</c:v>
                </c:pt>
                <c:pt idx="32">
                  <c:v>0.97584776253965</c:v>
                </c:pt>
                <c:pt idx="33">
                  <c:v>0.96341493783628596</c:v>
                </c:pt>
                <c:pt idx="34">
                  <c:v>0.948390013617046</c:v>
                </c:pt>
                <c:pt idx="35">
                  <c:v>0.96096449372404602</c:v>
                </c:pt>
                <c:pt idx="36">
                  <c:v>0.98955554025298698</c:v>
                </c:pt>
                <c:pt idx="37">
                  <c:v>0.95789799992597402</c:v>
                </c:pt>
                <c:pt idx="38">
                  <c:v>0.97285705024763902</c:v>
                </c:pt>
                <c:pt idx="39">
                  <c:v>0.95458390859812103</c:v>
                </c:pt>
                <c:pt idx="40">
                  <c:v>0.96290223058546198</c:v>
                </c:pt>
                <c:pt idx="41">
                  <c:v>0.99065045462881096</c:v>
                </c:pt>
                <c:pt idx="42">
                  <c:v>0.99819268939668104</c:v>
                </c:pt>
                <c:pt idx="43">
                  <c:v>1.05206770340206</c:v>
                </c:pt>
                <c:pt idx="44">
                  <c:v>0.96529449577745696</c:v>
                </c:pt>
                <c:pt idx="45">
                  <c:v>1.19693175845454</c:v>
                </c:pt>
                <c:pt idx="46">
                  <c:v>0.98487627258428601</c:v>
                </c:pt>
                <c:pt idx="48">
                  <c:v>0.97102619535410895</c:v>
                </c:pt>
                <c:pt idx="49">
                  <c:v>0.95296520424926301</c:v>
                </c:pt>
                <c:pt idx="50">
                  <c:v>1.1040166503647399</c:v>
                </c:pt>
                <c:pt idx="51">
                  <c:v>0.98333090192718298</c:v>
                </c:pt>
                <c:pt idx="52">
                  <c:v>0.99581687975880695</c:v>
                </c:pt>
                <c:pt idx="53">
                  <c:v>0.96167955475737199</c:v>
                </c:pt>
                <c:pt idx="54">
                  <c:v>1.0075581995804399</c:v>
                </c:pt>
                <c:pt idx="55">
                  <c:v>1.0129053776760599</c:v>
                </c:pt>
                <c:pt idx="56">
                  <c:v>0.96925172840404195</c:v>
                </c:pt>
                <c:pt idx="57">
                  <c:v>0.96621394181331899</c:v>
                </c:pt>
                <c:pt idx="58">
                  <c:v>1.05076673356162</c:v>
                </c:pt>
                <c:pt idx="59">
                  <c:v>0.94521855919153897</c:v>
                </c:pt>
                <c:pt idx="60">
                  <c:v>0.98713396047908497</c:v>
                </c:pt>
                <c:pt idx="61">
                  <c:v>0.98505585374995996</c:v>
                </c:pt>
                <c:pt idx="62">
                  <c:v>5.20032297247002</c:v>
                </c:pt>
                <c:pt idx="63">
                  <c:v>1.0034201462710499</c:v>
                </c:pt>
                <c:pt idx="64">
                  <c:v>0.96882791868918905</c:v>
                </c:pt>
                <c:pt idx="65">
                  <c:v>0.97530291203253505</c:v>
                </c:pt>
                <c:pt idx="66">
                  <c:v>0.97387895947284198</c:v>
                </c:pt>
                <c:pt idx="67">
                  <c:v>2.3336313756318701</c:v>
                </c:pt>
                <c:pt idx="68">
                  <c:v>0.97191933547976905</c:v>
                </c:pt>
                <c:pt idx="69">
                  <c:v>0.94127813604480903</c:v>
                </c:pt>
                <c:pt idx="70">
                  <c:v>0.98992091781111302</c:v>
                </c:pt>
                <c:pt idx="71">
                  <c:v>0.99847657930787503</c:v>
                </c:pt>
                <c:pt idx="72">
                  <c:v>0.95932981935679396</c:v>
                </c:pt>
                <c:pt idx="73">
                  <c:v>0.94754273898271002</c:v>
                </c:pt>
                <c:pt idx="74">
                  <c:v>0.99578585092116201</c:v>
                </c:pt>
                <c:pt idx="75">
                  <c:v>0.98858173157094198</c:v>
                </c:pt>
                <c:pt idx="76">
                  <c:v>0.98175233594172295</c:v>
                </c:pt>
                <c:pt idx="77">
                  <c:v>1.0003380786931499</c:v>
                </c:pt>
                <c:pt idx="78">
                  <c:v>1.0487984248676101</c:v>
                </c:pt>
                <c:pt idx="79">
                  <c:v>0.98996545540539505</c:v>
                </c:pt>
                <c:pt idx="80">
                  <c:v>0.96675991302983499</c:v>
                </c:pt>
                <c:pt idx="81">
                  <c:v>1.0009960122563699</c:v>
                </c:pt>
                <c:pt idx="82">
                  <c:v>0.95997818887131703</c:v>
                </c:pt>
                <c:pt idx="83">
                  <c:v>0.97371564588841197</c:v>
                </c:pt>
                <c:pt idx="84">
                  <c:v>0.97864935859959301</c:v>
                </c:pt>
                <c:pt idx="85">
                  <c:v>1.6821716127633599</c:v>
                </c:pt>
                <c:pt idx="86">
                  <c:v>0.97802402011188505</c:v>
                </c:pt>
                <c:pt idx="87">
                  <c:v>0.94961387868449398</c:v>
                </c:pt>
                <c:pt idx="88">
                  <c:v>0.95125461589811999</c:v>
                </c:pt>
                <c:pt idx="89">
                  <c:v>0.99129723541889303</c:v>
                </c:pt>
                <c:pt idx="90">
                  <c:v>0.969477679766653</c:v>
                </c:pt>
                <c:pt idx="91">
                  <c:v>1.93396908360949</c:v>
                </c:pt>
                <c:pt idx="92">
                  <c:v>0.97327282993729702</c:v>
                </c:pt>
                <c:pt idx="93">
                  <c:v>0.985201158043296</c:v>
                </c:pt>
                <c:pt idx="94">
                  <c:v>0.91469874367090598</c:v>
                </c:pt>
                <c:pt idx="95">
                  <c:v>1.0023882368318</c:v>
                </c:pt>
                <c:pt idx="96">
                  <c:v>0.99910149635567602</c:v>
                </c:pt>
                <c:pt idx="97">
                  <c:v>0.99439124017743596</c:v>
                </c:pt>
                <c:pt idx="98">
                  <c:v>0.982188446102358</c:v>
                </c:pt>
                <c:pt idx="99">
                  <c:v>1.0095913548380799</c:v>
                </c:pt>
                <c:pt idx="100">
                  <c:v>0.93265029393565202</c:v>
                </c:pt>
                <c:pt idx="101">
                  <c:v>1.01725015533102</c:v>
                </c:pt>
                <c:pt idx="102">
                  <c:v>0.93683207547448699</c:v>
                </c:pt>
                <c:pt idx="103">
                  <c:v>0.93955573331984898</c:v>
                </c:pt>
                <c:pt idx="104">
                  <c:v>1.60839564171284</c:v>
                </c:pt>
                <c:pt idx="105">
                  <c:v>0.971344755406781</c:v>
                </c:pt>
                <c:pt idx="106">
                  <c:v>1.1807871728325701</c:v>
                </c:pt>
                <c:pt idx="107">
                  <c:v>1.15114202738771</c:v>
                </c:pt>
                <c:pt idx="108">
                  <c:v>0.97756486923627295</c:v>
                </c:pt>
                <c:pt idx="109">
                  <c:v>0.98998506330950498</c:v>
                </c:pt>
                <c:pt idx="110">
                  <c:v>2.9238750743985902</c:v>
                </c:pt>
                <c:pt idx="111">
                  <c:v>0.94032771087567302</c:v>
                </c:pt>
                <c:pt idx="112">
                  <c:v>0.992541657317494</c:v>
                </c:pt>
                <c:pt idx="113">
                  <c:v>0.99725941479670999</c:v>
                </c:pt>
                <c:pt idx="114">
                  <c:v>0.97935850123554902</c:v>
                </c:pt>
                <c:pt idx="115">
                  <c:v>0.99088094242751501</c:v>
                </c:pt>
                <c:pt idx="116">
                  <c:v>0.93226060454043602</c:v>
                </c:pt>
                <c:pt idx="117">
                  <c:v>0.99334348614316703</c:v>
                </c:pt>
                <c:pt idx="118">
                  <c:v>1.16388394642627</c:v>
                </c:pt>
                <c:pt idx="119">
                  <c:v>1.0049616234493901</c:v>
                </c:pt>
                <c:pt idx="120">
                  <c:v>1.2848656419117399</c:v>
                </c:pt>
                <c:pt idx="121">
                  <c:v>0.97435463580155601</c:v>
                </c:pt>
                <c:pt idx="122">
                  <c:v>1.0041648089109101</c:v>
                </c:pt>
                <c:pt idx="123">
                  <c:v>4.53450665459407</c:v>
                </c:pt>
                <c:pt idx="124">
                  <c:v>0.98033985688050396</c:v>
                </c:pt>
                <c:pt idx="125">
                  <c:v>1.00115806604291</c:v>
                </c:pt>
                <c:pt idx="126">
                  <c:v>1.03693648168666</c:v>
                </c:pt>
                <c:pt idx="127">
                  <c:v>0.97713204624753702</c:v>
                </c:pt>
                <c:pt idx="128">
                  <c:v>0.96638943561003499</c:v>
                </c:pt>
                <c:pt idx="129">
                  <c:v>1.04900813960136</c:v>
                </c:pt>
                <c:pt idx="130">
                  <c:v>1.0196807587833401</c:v>
                </c:pt>
                <c:pt idx="131">
                  <c:v>0.98291727724191602</c:v>
                </c:pt>
                <c:pt idx="132">
                  <c:v>0.92328325874395401</c:v>
                </c:pt>
                <c:pt idx="133">
                  <c:v>0.96491664372691699</c:v>
                </c:pt>
                <c:pt idx="134">
                  <c:v>0.96591622340504202</c:v>
                </c:pt>
                <c:pt idx="135">
                  <c:v>0.92882553516701505</c:v>
                </c:pt>
                <c:pt idx="136">
                  <c:v>0.99199690830272302</c:v>
                </c:pt>
                <c:pt idx="137">
                  <c:v>0.97068864750346295</c:v>
                </c:pt>
                <c:pt idx="138">
                  <c:v>0.99685432825501397</c:v>
                </c:pt>
                <c:pt idx="139">
                  <c:v>0.98324974351930094</c:v>
                </c:pt>
                <c:pt idx="140">
                  <c:v>1.04399293992978</c:v>
                </c:pt>
                <c:pt idx="141">
                  <c:v>0.99999999996464395</c:v>
                </c:pt>
                <c:pt idx="142">
                  <c:v>0.97357096358656303</c:v>
                </c:pt>
                <c:pt idx="143">
                  <c:v>0.99211855961796702</c:v>
                </c:pt>
                <c:pt idx="144">
                  <c:v>0.96045856661218798</c:v>
                </c:pt>
                <c:pt idx="145">
                  <c:v>0.97487662554531396</c:v>
                </c:pt>
                <c:pt idx="146">
                  <c:v>1.17074382083374</c:v>
                </c:pt>
                <c:pt idx="147">
                  <c:v>0.993776736368437</c:v>
                </c:pt>
                <c:pt idx="148">
                  <c:v>1.03223739615555</c:v>
                </c:pt>
                <c:pt idx="149">
                  <c:v>1.00197925617568</c:v>
                </c:pt>
                <c:pt idx="150">
                  <c:v>0.94923189688685805</c:v>
                </c:pt>
                <c:pt idx="151">
                  <c:v>0.99740688891012597</c:v>
                </c:pt>
                <c:pt idx="152">
                  <c:v>0.95543247614482496</c:v>
                </c:pt>
                <c:pt idx="153">
                  <c:v>0.99897887111677097</c:v>
                </c:pt>
                <c:pt idx="154">
                  <c:v>0.99400432643562098</c:v>
                </c:pt>
                <c:pt idx="155">
                  <c:v>0.97275349522421495</c:v>
                </c:pt>
                <c:pt idx="156">
                  <c:v>0.98021886937059299</c:v>
                </c:pt>
                <c:pt idx="157">
                  <c:v>0.93866745355507997</c:v>
                </c:pt>
                <c:pt idx="158">
                  <c:v>0.99784320220724998</c:v>
                </c:pt>
                <c:pt idx="159">
                  <c:v>0.98791316147721497</c:v>
                </c:pt>
                <c:pt idx="160">
                  <c:v>1.01594022383906</c:v>
                </c:pt>
                <c:pt idx="161">
                  <c:v>0.95956099007593099</c:v>
                </c:pt>
                <c:pt idx="162">
                  <c:v>0.999999999999999</c:v>
                </c:pt>
                <c:pt idx="163">
                  <c:v>0.99620445542726899</c:v>
                </c:pt>
                <c:pt idx="164">
                  <c:v>1.0872688634289001</c:v>
                </c:pt>
                <c:pt idx="165">
                  <c:v>0.90467691666516103</c:v>
                </c:pt>
                <c:pt idx="166">
                  <c:v>0.94008495262347003</c:v>
                </c:pt>
                <c:pt idx="167">
                  <c:v>1.2630634434938</c:v>
                </c:pt>
                <c:pt idx="168">
                  <c:v>0.98547682031616801</c:v>
                </c:pt>
                <c:pt idx="169">
                  <c:v>0.97733660643252496</c:v>
                </c:pt>
                <c:pt idx="170">
                  <c:v>0.96315939306751597</c:v>
                </c:pt>
                <c:pt idx="171">
                  <c:v>0.98367687662999503</c:v>
                </c:pt>
                <c:pt idx="172">
                  <c:v>0.98085050328852696</c:v>
                </c:pt>
                <c:pt idx="173">
                  <c:v>1.22384827829361</c:v>
                </c:pt>
                <c:pt idx="174">
                  <c:v>0.95808982796733999</c:v>
                </c:pt>
                <c:pt idx="175">
                  <c:v>0.995118282511397</c:v>
                </c:pt>
                <c:pt idx="176">
                  <c:v>0.98504622758565796</c:v>
                </c:pt>
                <c:pt idx="177">
                  <c:v>1.92591277501758</c:v>
                </c:pt>
                <c:pt idx="178">
                  <c:v>0.95146872119930703</c:v>
                </c:pt>
                <c:pt idx="179">
                  <c:v>0.98977492995485505</c:v>
                </c:pt>
                <c:pt idx="180">
                  <c:v>1.4455102549208101</c:v>
                </c:pt>
                <c:pt idx="181">
                  <c:v>1.8013315672341701</c:v>
                </c:pt>
                <c:pt idx="182">
                  <c:v>0.96935397261051004</c:v>
                </c:pt>
                <c:pt idx="183">
                  <c:v>0.97218757725085903</c:v>
                </c:pt>
                <c:pt idx="184">
                  <c:v>0.984953452575965</c:v>
                </c:pt>
                <c:pt idx="185">
                  <c:v>0.99620671436437602</c:v>
                </c:pt>
                <c:pt idx="186">
                  <c:v>0.94583775656901004</c:v>
                </c:pt>
                <c:pt idx="187">
                  <c:v>1.0061304594956899</c:v>
                </c:pt>
                <c:pt idx="188">
                  <c:v>0.99463941195857097</c:v>
                </c:pt>
                <c:pt idx="189">
                  <c:v>0.98529258233739803</c:v>
                </c:pt>
                <c:pt idx="190">
                  <c:v>0.91516094803902304</c:v>
                </c:pt>
                <c:pt idx="191">
                  <c:v>0.98148402644817601</c:v>
                </c:pt>
                <c:pt idx="192">
                  <c:v>0.95858703560269698</c:v>
                </c:pt>
                <c:pt idx="193">
                  <c:v>0.997017528027348</c:v>
                </c:pt>
                <c:pt idx="194">
                  <c:v>0.99522605378342499</c:v>
                </c:pt>
                <c:pt idx="195">
                  <c:v>0.96014253336710698</c:v>
                </c:pt>
                <c:pt idx="196">
                  <c:v>0.96982771138808199</c:v>
                </c:pt>
                <c:pt idx="197">
                  <c:v>4.9014633959485403</c:v>
                </c:pt>
                <c:pt idx="198">
                  <c:v>0.99906110098566703</c:v>
                </c:pt>
                <c:pt idx="199">
                  <c:v>1.0067435794322801</c:v>
                </c:pt>
                <c:pt idx="200">
                  <c:v>0.97638946416713901</c:v>
                </c:pt>
                <c:pt idx="201">
                  <c:v>2.9091684638976001</c:v>
                </c:pt>
                <c:pt idx="202">
                  <c:v>1.0007961822283999</c:v>
                </c:pt>
                <c:pt idx="203">
                  <c:v>0.99270530576770699</c:v>
                </c:pt>
                <c:pt idx="204">
                  <c:v>0.97856622903867196</c:v>
                </c:pt>
                <c:pt idx="205">
                  <c:v>1.0094707295324701</c:v>
                </c:pt>
                <c:pt idx="206">
                  <c:v>0.98437214756834601</c:v>
                </c:pt>
                <c:pt idx="207">
                  <c:v>0.98009551487296498</c:v>
                </c:pt>
                <c:pt idx="208">
                  <c:v>0.97278153019514602</c:v>
                </c:pt>
                <c:pt idx="209">
                  <c:v>1.0020848034443599</c:v>
                </c:pt>
                <c:pt idx="210">
                  <c:v>0.98712958642651905</c:v>
                </c:pt>
                <c:pt idx="211">
                  <c:v>0.96587971378549897</c:v>
                </c:pt>
                <c:pt idx="212">
                  <c:v>0.93629861041026197</c:v>
                </c:pt>
                <c:pt idx="213">
                  <c:v>1.02720378217834</c:v>
                </c:pt>
                <c:pt idx="214">
                  <c:v>0.98600284457988296</c:v>
                </c:pt>
                <c:pt idx="215">
                  <c:v>0.96298372109399999</c:v>
                </c:pt>
                <c:pt idx="216">
                  <c:v>0.95230522363827996</c:v>
                </c:pt>
                <c:pt idx="217">
                  <c:v>0.99193926454597403</c:v>
                </c:pt>
                <c:pt idx="218">
                  <c:v>0.99230403051440796</c:v>
                </c:pt>
                <c:pt idx="219">
                  <c:v>0.97698591442543703</c:v>
                </c:pt>
                <c:pt idx="220">
                  <c:v>0.99999999996464395</c:v>
                </c:pt>
                <c:pt idx="221">
                  <c:v>0.99663024155583302</c:v>
                </c:pt>
                <c:pt idx="222">
                  <c:v>0.99392214356111896</c:v>
                </c:pt>
                <c:pt idx="223">
                  <c:v>1.01873584811211</c:v>
                </c:pt>
                <c:pt idx="224">
                  <c:v>1.00075580824516</c:v>
                </c:pt>
                <c:pt idx="225">
                  <c:v>1.0002365686169301</c:v>
                </c:pt>
                <c:pt idx="226">
                  <c:v>1.3216395913302099</c:v>
                </c:pt>
                <c:pt idx="227">
                  <c:v>0.99153422980817896</c:v>
                </c:pt>
                <c:pt idx="228">
                  <c:v>0.98642216234935998</c:v>
                </c:pt>
                <c:pt idx="229">
                  <c:v>0.97641084329715699</c:v>
                </c:pt>
                <c:pt idx="230">
                  <c:v>0.96921048066936599</c:v>
                </c:pt>
                <c:pt idx="231">
                  <c:v>1.0020423143912001</c:v>
                </c:pt>
                <c:pt idx="232">
                  <c:v>0.96407614534082597</c:v>
                </c:pt>
                <c:pt idx="233">
                  <c:v>1.0001620159189399</c:v>
                </c:pt>
                <c:pt idx="234">
                  <c:v>0.92971947264757804</c:v>
                </c:pt>
                <c:pt idx="235">
                  <c:v>1.69627711065459</c:v>
                </c:pt>
                <c:pt idx="236">
                  <c:v>1.53311701266394</c:v>
                </c:pt>
                <c:pt idx="237">
                  <c:v>0.99339818138196101</c:v>
                </c:pt>
                <c:pt idx="238">
                  <c:v>0.85417721320203499</c:v>
                </c:pt>
                <c:pt idx="239">
                  <c:v>0.99585421252510598</c:v>
                </c:pt>
                <c:pt idx="240">
                  <c:v>0.97439534931236205</c:v>
                </c:pt>
                <c:pt idx="241">
                  <c:v>0.99433855295385598</c:v>
                </c:pt>
                <c:pt idx="242">
                  <c:v>0.99646082607883402</c:v>
                </c:pt>
                <c:pt idx="243">
                  <c:v>1.2986159519199001</c:v>
                </c:pt>
                <c:pt idx="244">
                  <c:v>0.97487368733105195</c:v>
                </c:pt>
                <c:pt idx="245">
                  <c:v>0.99723176051221896</c:v>
                </c:pt>
                <c:pt idx="246">
                  <c:v>0.99407464010657098</c:v>
                </c:pt>
                <c:pt idx="247">
                  <c:v>1.0270841798082999</c:v>
                </c:pt>
                <c:pt idx="248">
                  <c:v>1.00265256186528</c:v>
                </c:pt>
                <c:pt idx="249">
                  <c:v>0.96016747004424796</c:v>
                </c:pt>
                <c:pt idx="250">
                  <c:v>0.98183057967614096</c:v>
                </c:pt>
                <c:pt idx="251">
                  <c:v>1.0803342660781401</c:v>
                </c:pt>
                <c:pt idx="252">
                  <c:v>0.95422717786413802</c:v>
                </c:pt>
                <c:pt idx="253">
                  <c:v>1.0089481795256301</c:v>
                </c:pt>
                <c:pt idx="254">
                  <c:v>0.97578395181886102</c:v>
                </c:pt>
                <c:pt idx="255">
                  <c:v>0.93356477119594805</c:v>
                </c:pt>
                <c:pt idx="256">
                  <c:v>1.07374427452653</c:v>
                </c:pt>
                <c:pt idx="257">
                  <c:v>0.99643030346907402</c:v>
                </c:pt>
                <c:pt idx="258">
                  <c:v>1.0042700297151299</c:v>
                </c:pt>
                <c:pt idx="259">
                  <c:v>0.99697129144209895</c:v>
                </c:pt>
                <c:pt idx="260">
                  <c:v>0.96254294559382902</c:v>
                </c:pt>
                <c:pt idx="261">
                  <c:v>1.0097790703081999</c:v>
                </c:pt>
                <c:pt idx="262">
                  <c:v>1.01468306021091</c:v>
                </c:pt>
                <c:pt idx="263">
                  <c:v>1.00332445637315</c:v>
                </c:pt>
                <c:pt idx="264">
                  <c:v>0.98362858945133003</c:v>
                </c:pt>
                <c:pt idx="265">
                  <c:v>1.00139468626233</c:v>
                </c:pt>
                <c:pt idx="266">
                  <c:v>0.94178680346902899</c:v>
                </c:pt>
                <c:pt idx="267">
                  <c:v>0.99942434354701903</c:v>
                </c:pt>
                <c:pt idx="268">
                  <c:v>0.97839323079053497</c:v>
                </c:pt>
                <c:pt idx="269">
                  <c:v>0.99383179065074301</c:v>
                </c:pt>
                <c:pt idx="270">
                  <c:v>0.99568017232483297</c:v>
                </c:pt>
                <c:pt idx="271">
                  <c:v>0.97538838952895601</c:v>
                </c:pt>
                <c:pt idx="273">
                  <c:v>0.99447013638280601</c:v>
                </c:pt>
                <c:pt idx="274">
                  <c:v>1.00200471793526</c:v>
                </c:pt>
                <c:pt idx="275">
                  <c:v>0.99556518230240598</c:v>
                </c:pt>
                <c:pt idx="276">
                  <c:v>0.98201261362244197</c:v>
                </c:pt>
                <c:pt idx="277">
                  <c:v>0.92298067098430403</c:v>
                </c:pt>
                <c:pt idx="278">
                  <c:v>1.01089513050638</c:v>
                </c:pt>
                <c:pt idx="279">
                  <c:v>0.95961158207702202</c:v>
                </c:pt>
                <c:pt idx="280">
                  <c:v>1.1406752623249701</c:v>
                </c:pt>
                <c:pt idx="281">
                  <c:v>0.98088095551398902</c:v>
                </c:pt>
                <c:pt idx="282">
                  <c:v>0.98198720076150003</c:v>
                </c:pt>
                <c:pt idx="283">
                  <c:v>0.98969837571278696</c:v>
                </c:pt>
                <c:pt idx="284">
                  <c:v>0.94568978838078999</c:v>
                </c:pt>
                <c:pt idx="285">
                  <c:v>0.98673317470065602</c:v>
                </c:pt>
                <c:pt idx="286">
                  <c:v>0.951719734562127</c:v>
                </c:pt>
                <c:pt idx="287">
                  <c:v>0.99969047387018695</c:v>
                </c:pt>
                <c:pt idx="288">
                  <c:v>0.96919216530198204</c:v>
                </c:pt>
                <c:pt idx="289">
                  <c:v>0.98595924131758195</c:v>
                </c:pt>
                <c:pt idx="290">
                  <c:v>0.973019503971426</c:v>
                </c:pt>
                <c:pt idx="291">
                  <c:v>0.99335906667520901</c:v>
                </c:pt>
                <c:pt idx="292">
                  <c:v>0.95640646607314705</c:v>
                </c:pt>
                <c:pt idx="293">
                  <c:v>1.0718974528491301</c:v>
                </c:pt>
                <c:pt idx="294">
                  <c:v>0.95740369703716599</c:v>
                </c:pt>
                <c:pt idx="295">
                  <c:v>0.92633508390927</c:v>
                </c:pt>
                <c:pt idx="296">
                  <c:v>1.0026277335539</c:v>
                </c:pt>
                <c:pt idx="297">
                  <c:v>4.0504580896886599</c:v>
                </c:pt>
                <c:pt idx="298">
                  <c:v>1.00366752887935</c:v>
                </c:pt>
                <c:pt idx="299">
                  <c:v>1.0024069355970799</c:v>
                </c:pt>
                <c:pt idx="300">
                  <c:v>0.97700160846495998</c:v>
                </c:pt>
                <c:pt idx="301">
                  <c:v>0.990177557792985</c:v>
                </c:pt>
                <c:pt idx="302">
                  <c:v>0.91724153780522599</c:v>
                </c:pt>
                <c:pt idx="303">
                  <c:v>0.97918078263955199</c:v>
                </c:pt>
                <c:pt idx="304">
                  <c:v>1.11469470153386</c:v>
                </c:pt>
                <c:pt idx="305">
                  <c:v>1.00073158500284</c:v>
                </c:pt>
                <c:pt idx="306">
                  <c:v>1.0130441306454701</c:v>
                </c:pt>
                <c:pt idx="307">
                  <c:v>0.99904733744035801</c:v>
                </c:pt>
                <c:pt idx="308">
                  <c:v>0.95283082598493796</c:v>
                </c:pt>
                <c:pt idx="309">
                  <c:v>1.0125575099933799</c:v>
                </c:pt>
                <c:pt idx="310">
                  <c:v>1.13385127700611</c:v>
                </c:pt>
                <c:pt idx="311">
                  <c:v>0.92153916389036505</c:v>
                </c:pt>
                <c:pt idx="312">
                  <c:v>0.98064776570502599</c:v>
                </c:pt>
                <c:pt idx="313">
                  <c:v>0.99468419570358801</c:v>
                </c:pt>
                <c:pt idx="314">
                  <c:v>0.98837816923663002</c:v>
                </c:pt>
                <c:pt idx="315">
                  <c:v>0.96324554473494794</c:v>
                </c:pt>
                <c:pt idx="316">
                  <c:v>0.977231223160413</c:v>
                </c:pt>
                <c:pt idx="317">
                  <c:v>3.21162628429488</c:v>
                </c:pt>
                <c:pt idx="318">
                  <c:v>0.99096106365201797</c:v>
                </c:pt>
                <c:pt idx="319">
                  <c:v>0.99334781096831404</c:v>
                </c:pt>
                <c:pt idx="320">
                  <c:v>0.98690592300510205</c:v>
                </c:pt>
                <c:pt idx="321">
                  <c:v>0.99734808490211702</c:v>
                </c:pt>
                <c:pt idx="322">
                  <c:v>0.97950144825396801</c:v>
                </c:pt>
                <c:pt idx="323">
                  <c:v>0.98096194690913396</c:v>
                </c:pt>
                <c:pt idx="324">
                  <c:v>0.986361137289401</c:v>
                </c:pt>
                <c:pt idx="325">
                  <c:v>0.94702633514429901</c:v>
                </c:pt>
                <c:pt idx="326">
                  <c:v>0.97127601135903097</c:v>
                </c:pt>
                <c:pt idx="327">
                  <c:v>1.0002907569253601</c:v>
                </c:pt>
                <c:pt idx="328">
                  <c:v>0.97042877511543302</c:v>
                </c:pt>
                <c:pt idx="329">
                  <c:v>1.1751720049507499</c:v>
                </c:pt>
                <c:pt idx="330">
                  <c:v>0.99246181098022401</c:v>
                </c:pt>
                <c:pt idx="331">
                  <c:v>0.97849850867092103</c:v>
                </c:pt>
                <c:pt idx="332">
                  <c:v>0.948258424367042</c:v>
                </c:pt>
                <c:pt idx="333">
                  <c:v>0.96563548791771603</c:v>
                </c:pt>
                <c:pt idx="334">
                  <c:v>0.99654654303704604</c:v>
                </c:pt>
                <c:pt idx="335">
                  <c:v>1.0760841831977801</c:v>
                </c:pt>
                <c:pt idx="336">
                  <c:v>0.99581215063329598</c:v>
                </c:pt>
                <c:pt idx="337">
                  <c:v>0.99455638133234503</c:v>
                </c:pt>
                <c:pt idx="338">
                  <c:v>0.92087974372527404</c:v>
                </c:pt>
                <c:pt idx="339">
                  <c:v>0.99698875301697998</c:v>
                </c:pt>
                <c:pt idx="340">
                  <c:v>0.94947499361395604</c:v>
                </c:pt>
                <c:pt idx="341">
                  <c:v>0.95975739542690996</c:v>
                </c:pt>
                <c:pt idx="342">
                  <c:v>0.98721493891462697</c:v>
                </c:pt>
                <c:pt idx="343">
                  <c:v>0.97790786971795496</c:v>
                </c:pt>
                <c:pt idx="344">
                  <c:v>1.0027057623725899</c:v>
                </c:pt>
                <c:pt idx="345">
                  <c:v>0.96267109793841898</c:v>
                </c:pt>
                <c:pt idx="346">
                  <c:v>0.97851075477901905</c:v>
                </c:pt>
                <c:pt idx="347">
                  <c:v>0.98414279104746705</c:v>
                </c:pt>
                <c:pt idx="348">
                  <c:v>0.96833734297552199</c:v>
                </c:pt>
                <c:pt idx="349">
                  <c:v>1.17022464846839</c:v>
                </c:pt>
                <c:pt idx="350">
                  <c:v>1.0060542571837701</c:v>
                </c:pt>
                <c:pt idx="351">
                  <c:v>0.98436405030023599</c:v>
                </c:pt>
                <c:pt idx="352">
                  <c:v>0.98233443832933498</c:v>
                </c:pt>
                <c:pt idx="353">
                  <c:v>0.989676023959153</c:v>
                </c:pt>
                <c:pt idx="354">
                  <c:v>0.99110009958096001</c:v>
                </c:pt>
                <c:pt idx="355">
                  <c:v>0.98478111054656403</c:v>
                </c:pt>
                <c:pt idx="356">
                  <c:v>0.95336635420974902</c:v>
                </c:pt>
                <c:pt idx="357">
                  <c:v>0.98619717039388</c:v>
                </c:pt>
                <c:pt idx="358">
                  <c:v>0.98552165414215398</c:v>
                </c:pt>
                <c:pt idx="359">
                  <c:v>1.14207447637738</c:v>
                </c:pt>
                <c:pt idx="360">
                  <c:v>0.88082792622867001</c:v>
                </c:pt>
                <c:pt idx="361">
                  <c:v>0.979940244978454</c:v>
                </c:pt>
                <c:pt idx="362">
                  <c:v>0.93464707881318299</c:v>
                </c:pt>
                <c:pt idx="363">
                  <c:v>1.06193534570064</c:v>
                </c:pt>
                <c:pt idx="364">
                  <c:v>0.99366011715152003</c:v>
                </c:pt>
                <c:pt idx="365">
                  <c:v>0.99978311364494399</c:v>
                </c:pt>
                <c:pt idx="366">
                  <c:v>0.99493753562154796</c:v>
                </c:pt>
                <c:pt idx="367">
                  <c:v>0.98471106641139505</c:v>
                </c:pt>
                <c:pt idx="368">
                  <c:v>0.994392632750147</c:v>
                </c:pt>
                <c:pt idx="369">
                  <c:v>0.94757369640704203</c:v>
                </c:pt>
                <c:pt idx="370">
                  <c:v>0.957128943091068</c:v>
                </c:pt>
                <c:pt idx="371">
                  <c:v>1.0010065107977799</c:v>
                </c:pt>
                <c:pt idx="372">
                  <c:v>0.87609815045741601</c:v>
                </c:pt>
                <c:pt idx="373">
                  <c:v>0.89803857986610403</c:v>
                </c:pt>
                <c:pt idx="374">
                  <c:v>0.96403185536749103</c:v>
                </c:pt>
                <c:pt idx="375">
                  <c:v>0.98491320829527496</c:v>
                </c:pt>
                <c:pt idx="376">
                  <c:v>0.99336352187826404</c:v>
                </c:pt>
                <c:pt idx="377">
                  <c:v>0.940865868379959</c:v>
                </c:pt>
                <c:pt idx="378">
                  <c:v>0.99734461705578104</c:v>
                </c:pt>
                <c:pt idx="379">
                  <c:v>0.99959661445197501</c:v>
                </c:pt>
                <c:pt idx="380">
                  <c:v>1.4532400702847299</c:v>
                </c:pt>
                <c:pt idx="381">
                  <c:v>1.0013559017593301</c:v>
                </c:pt>
                <c:pt idx="382">
                  <c:v>0.97787357000114705</c:v>
                </c:pt>
                <c:pt idx="383">
                  <c:v>0.97562647677320602</c:v>
                </c:pt>
                <c:pt idx="384">
                  <c:v>0.98845589323130201</c:v>
                </c:pt>
                <c:pt idx="385">
                  <c:v>0.98067478474852499</c:v>
                </c:pt>
                <c:pt idx="386">
                  <c:v>0.93979727828263204</c:v>
                </c:pt>
                <c:pt idx="387">
                  <c:v>1.0017832871485399</c:v>
                </c:pt>
                <c:pt idx="388">
                  <c:v>1.3374822741747501</c:v>
                </c:pt>
                <c:pt idx="389">
                  <c:v>3.5558465024808799</c:v>
                </c:pt>
                <c:pt idx="390">
                  <c:v>1.0014672829742799</c:v>
                </c:pt>
                <c:pt idx="391">
                  <c:v>1.00009202967969</c:v>
                </c:pt>
                <c:pt idx="392">
                  <c:v>0.96813135009483098</c:v>
                </c:pt>
                <c:pt idx="393">
                  <c:v>0.97578959453030201</c:v>
                </c:pt>
                <c:pt idx="394">
                  <c:v>0.99761262239555504</c:v>
                </c:pt>
                <c:pt idx="395">
                  <c:v>1.1104854288538499</c:v>
                </c:pt>
                <c:pt idx="396">
                  <c:v>0.98852091938780395</c:v>
                </c:pt>
                <c:pt idx="397">
                  <c:v>0.99573379889784996</c:v>
                </c:pt>
                <c:pt idx="398">
                  <c:v>0.92988145938634104</c:v>
                </c:pt>
                <c:pt idx="399">
                  <c:v>0.88371412047553699</c:v>
                </c:pt>
                <c:pt idx="400">
                  <c:v>1.06664518082244</c:v>
                </c:pt>
                <c:pt idx="401">
                  <c:v>0.99328521100923906</c:v>
                </c:pt>
                <c:pt idx="402">
                  <c:v>0.99831654838892203</c:v>
                </c:pt>
                <c:pt idx="403">
                  <c:v>1.0057903290169701</c:v>
                </c:pt>
                <c:pt idx="404">
                  <c:v>0.97654303824243405</c:v>
                </c:pt>
                <c:pt idx="405">
                  <c:v>1.7818616247635599</c:v>
                </c:pt>
                <c:pt idx="406">
                  <c:v>1.01386519950596</c:v>
                </c:pt>
                <c:pt idx="407">
                  <c:v>0.90447808338309399</c:v>
                </c:pt>
                <c:pt idx="408">
                  <c:v>0.96756432980013496</c:v>
                </c:pt>
                <c:pt idx="409">
                  <c:v>0.98597259453955999</c:v>
                </c:pt>
                <c:pt idx="410">
                  <c:v>0.97885774392434199</c:v>
                </c:pt>
                <c:pt idx="411">
                  <c:v>0.968327118752487</c:v>
                </c:pt>
                <c:pt idx="412">
                  <c:v>0.94194091168418204</c:v>
                </c:pt>
                <c:pt idx="413">
                  <c:v>0.97374103890902297</c:v>
                </c:pt>
                <c:pt idx="414">
                  <c:v>0.99032398666789501</c:v>
                </c:pt>
                <c:pt idx="415">
                  <c:v>0.99300508648493002</c:v>
                </c:pt>
                <c:pt idx="416">
                  <c:v>1.00798324902202</c:v>
                </c:pt>
                <c:pt idx="417">
                  <c:v>0.980738928301785</c:v>
                </c:pt>
                <c:pt idx="418">
                  <c:v>0.96219390099086699</c:v>
                </c:pt>
                <c:pt idx="419">
                  <c:v>0.96459542782250596</c:v>
                </c:pt>
                <c:pt idx="420">
                  <c:v>0.95940286280294196</c:v>
                </c:pt>
                <c:pt idx="421">
                  <c:v>0.97610857384826899</c:v>
                </c:pt>
                <c:pt idx="422">
                  <c:v>0.99041214227204699</c:v>
                </c:pt>
                <c:pt idx="423">
                  <c:v>0.99999999996464395</c:v>
                </c:pt>
                <c:pt idx="424">
                  <c:v>0.99642024648893601</c:v>
                </c:pt>
                <c:pt idx="425">
                  <c:v>1.05334847198829</c:v>
                </c:pt>
                <c:pt idx="426">
                  <c:v>0.95000999355294802</c:v>
                </c:pt>
                <c:pt idx="427">
                  <c:v>1.0758200042480499</c:v>
                </c:pt>
                <c:pt idx="428">
                  <c:v>0.997556665539724</c:v>
                </c:pt>
                <c:pt idx="429">
                  <c:v>0.99018707132831096</c:v>
                </c:pt>
                <c:pt idx="430">
                  <c:v>0.99057349757917201</c:v>
                </c:pt>
                <c:pt idx="431">
                  <c:v>0.96685873721919302</c:v>
                </c:pt>
                <c:pt idx="432">
                  <c:v>0.96698111244426599</c:v>
                </c:pt>
                <c:pt idx="433">
                  <c:v>0.93670551654255696</c:v>
                </c:pt>
                <c:pt idx="434">
                  <c:v>0.96653234123637199</c:v>
                </c:pt>
                <c:pt idx="435">
                  <c:v>0.98251680897253402</c:v>
                </c:pt>
                <c:pt idx="436">
                  <c:v>0.98800064752769401</c:v>
                </c:pt>
                <c:pt idx="437">
                  <c:v>0.97187604235549596</c:v>
                </c:pt>
                <c:pt idx="438">
                  <c:v>0.94527440732550805</c:v>
                </c:pt>
                <c:pt idx="439">
                  <c:v>4.3118276171025096</c:v>
                </c:pt>
                <c:pt idx="440">
                  <c:v>0.96291000176216901</c:v>
                </c:pt>
                <c:pt idx="441">
                  <c:v>1.0053915100510999</c:v>
                </c:pt>
                <c:pt idx="442">
                  <c:v>0.97527727509927997</c:v>
                </c:pt>
                <c:pt idx="443">
                  <c:v>0.97657518775335295</c:v>
                </c:pt>
                <c:pt idx="444">
                  <c:v>0.98824705294137205</c:v>
                </c:pt>
                <c:pt idx="445">
                  <c:v>0.92950641710242699</c:v>
                </c:pt>
                <c:pt idx="447">
                  <c:v>0.96552480671576502</c:v>
                </c:pt>
                <c:pt idx="448">
                  <c:v>0.99424071101322498</c:v>
                </c:pt>
                <c:pt idx="449">
                  <c:v>2.0178167530729199</c:v>
                </c:pt>
                <c:pt idx="450">
                  <c:v>0.98494772090847904</c:v>
                </c:pt>
                <c:pt idx="451">
                  <c:v>1.00066707279671</c:v>
                </c:pt>
                <c:pt idx="452">
                  <c:v>0.90010021634675996</c:v>
                </c:pt>
                <c:pt idx="453">
                  <c:v>1.0056904874016901</c:v>
                </c:pt>
                <c:pt idx="454">
                  <c:v>1.0040647782366301</c:v>
                </c:pt>
                <c:pt idx="455">
                  <c:v>0.96693708080122598</c:v>
                </c:pt>
                <c:pt idx="456">
                  <c:v>1.0022508875285201</c:v>
                </c:pt>
                <c:pt idx="457">
                  <c:v>1.0065210699395699</c:v>
                </c:pt>
                <c:pt idx="458">
                  <c:v>0.99362637880411497</c:v>
                </c:pt>
                <c:pt idx="459">
                  <c:v>0.997497776289067</c:v>
                </c:pt>
                <c:pt idx="460">
                  <c:v>1.47197425067552</c:v>
                </c:pt>
                <c:pt idx="461">
                  <c:v>0.99822191917831904</c:v>
                </c:pt>
                <c:pt idx="462">
                  <c:v>0.99631296999108199</c:v>
                </c:pt>
                <c:pt idx="463">
                  <c:v>1.3549167164507601</c:v>
                </c:pt>
                <c:pt idx="464">
                  <c:v>0.99560804644587497</c:v>
                </c:pt>
                <c:pt idx="465">
                  <c:v>0.96625886289356799</c:v>
                </c:pt>
                <c:pt idx="466">
                  <c:v>0.95972651539882103</c:v>
                </c:pt>
                <c:pt idx="467">
                  <c:v>1.0114483047345499</c:v>
                </c:pt>
                <c:pt idx="468">
                  <c:v>0.95719435208641801</c:v>
                </c:pt>
                <c:pt idx="469">
                  <c:v>0.94011176645352601</c:v>
                </c:pt>
                <c:pt idx="470">
                  <c:v>0.99747536931244696</c:v>
                </c:pt>
                <c:pt idx="471">
                  <c:v>0.97733841838665103</c:v>
                </c:pt>
                <c:pt idx="472">
                  <c:v>0.97840600468709804</c:v>
                </c:pt>
                <c:pt idx="473">
                  <c:v>0.97325796147979304</c:v>
                </c:pt>
                <c:pt idx="474">
                  <c:v>0.975372021203184</c:v>
                </c:pt>
                <c:pt idx="475">
                  <c:v>0.99224371158208902</c:v>
                </c:pt>
                <c:pt idx="476">
                  <c:v>0.99773417347303095</c:v>
                </c:pt>
                <c:pt idx="477">
                  <c:v>1.1405909540754899</c:v>
                </c:pt>
                <c:pt idx="478">
                  <c:v>0.92351871667222596</c:v>
                </c:pt>
                <c:pt idx="479">
                  <c:v>0.95942739817641598</c:v>
                </c:pt>
                <c:pt idx="480">
                  <c:v>1.00133193812675</c:v>
                </c:pt>
                <c:pt idx="481">
                  <c:v>0.99574915354998705</c:v>
                </c:pt>
                <c:pt idx="482">
                  <c:v>0.97321754599118704</c:v>
                </c:pt>
                <c:pt idx="483">
                  <c:v>0.98666894875297795</c:v>
                </c:pt>
                <c:pt idx="484">
                  <c:v>0.98308911083879602</c:v>
                </c:pt>
                <c:pt idx="485">
                  <c:v>0.96870835357460805</c:v>
                </c:pt>
                <c:pt idx="486">
                  <c:v>0.96260943813260802</c:v>
                </c:pt>
                <c:pt idx="487">
                  <c:v>0.98945478062914405</c:v>
                </c:pt>
                <c:pt idx="488">
                  <c:v>1.0036516218932201</c:v>
                </c:pt>
                <c:pt idx="489">
                  <c:v>1.02271335195364</c:v>
                </c:pt>
                <c:pt idx="490">
                  <c:v>1.7345194675350999</c:v>
                </c:pt>
                <c:pt idx="491">
                  <c:v>0.97723941918801605</c:v>
                </c:pt>
                <c:pt idx="492">
                  <c:v>0.95560557978282501</c:v>
                </c:pt>
                <c:pt idx="493">
                  <c:v>0.97436410152049502</c:v>
                </c:pt>
                <c:pt idx="494">
                  <c:v>0.99999999996464395</c:v>
                </c:pt>
                <c:pt idx="495">
                  <c:v>0.99416740587215102</c:v>
                </c:pt>
                <c:pt idx="496">
                  <c:v>0.97087333581397195</c:v>
                </c:pt>
                <c:pt idx="497">
                  <c:v>1.0561675075630801</c:v>
                </c:pt>
                <c:pt idx="498">
                  <c:v>0.99707775132300702</c:v>
                </c:pt>
                <c:pt idx="499">
                  <c:v>0.87837824785037999</c:v>
                </c:pt>
                <c:pt idx="500">
                  <c:v>0.97568432523772597</c:v>
                </c:pt>
                <c:pt idx="501">
                  <c:v>1.41054130275639</c:v>
                </c:pt>
                <c:pt idx="502">
                  <c:v>0.93801789415243297</c:v>
                </c:pt>
                <c:pt idx="503">
                  <c:v>0.95373559857357104</c:v>
                </c:pt>
                <c:pt idx="504">
                  <c:v>0.97108646895087303</c:v>
                </c:pt>
                <c:pt idx="505">
                  <c:v>0.95759626024060496</c:v>
                </c:pt>
                <c:pt idx="506">
                  <c:v>1.0017820663314501</c:v>
                </c:pt>
                <c:pt idx="507">
                  <c:v>1.0066438353457201</c:v>
                </c:pt>
                <c:pt idx="508">
                  <c:v>0.94073812991216499</c:v>
                </c:pt>
                <c:pt idx="509">
                  <c:v>1.0017123204418099</c:v>
                </c:pt>
                <c:pt idx="510">
                  <c:v>0.97084439275353096</c:v>
                </c:pt>
                <c:pt idx="511">
                  <c:v>0.97099982938432805</c:v>
                </c:pt>
                <c:pt idx="512">
                  <c:v>0.98335323377538797</c:v>
                </c:pt>
                <c:pt idx="513">
                  <c:v>0.95615641958556197</c:v>
                </c:pt>
                <c:pt idx="514">
                  <c:v>0.99715789074874395</c:v>
                </c:pt>
                <c:pt idx="515">
                  <c:v>1.0548566593590101</c:v>
                </c:pt>
                <c:pt idx="516">
                  <c:v>1.0209489459594501</c:v>
                </c:pt>
                <c:pt idx="517">
                  <c:v>0.96084731321338401</c:v>
                </c:pt>
                <c:pt idx="518">
                  <c:v>0.97753624472546197</c:v>
                </c:pt>
                <c:pt idx="519">
                  <c:v>1.01567709638516</c:v>
                </c:pt>
                <c:pt idx="520">
                  <c:v>0.95666892666437098</c:v>
                </c:pt>
                <c:pt idx="521">
                  <c:v>0.99662372036495805</c:v>
                </c:pt>
                <c:pt idx="522">
                  <c:v>0.95984428891308504</c:v>
                </c:pt>
                <c:pt idx="523">
                  <c:v>1.00439281314026</c:v>
                </c:pt>
                <c:pt idx="524">
                  <c:v>0.94495396266180198</c:v>
                </c:pt>
                <c:pt idx="525">
                  <c:v>1.0201853597193999</c:v>
                </c:pt>
                <c:pt idx="526">
                  <c:v>0.94673824923247396</c:v>
                </c:pt>
                <c:pt idx="527">
                  <c:v>1.0003345995080699</c:v>
                </c:pt>
                <c:pt idx="528">
                  <c:v>0.99463182696997299</c:v>
                </c:pt>
                <c:pt idx="529">
                  <c:v>0.97821254372523403</c:v>
                </c:pt>
                <c:pt idx="530">
                  <c:v>1.5670827774174501</c:v>
                </c:pt>
                <c:pt idx="531">
                  <c:v>0.99051649068321201</c:v>
                </c:pt>
                <c:pt idx="532">
                  <c:v>0.97536692235656897</c:v>
                </c:pt>
                <c:pt idx="533">
                  <c:v>0.99913032562492299</c:v>
                </c:pt>
                <c:pt idx="534">
                  <c:v>0.99630732990828097</c:v>
                </c:pt>
                <c:pt idx="535">
                  <c:v>0.984913127824527</c:v>
                </c:pt>
                <c:pt idx="536">
                  <c:v>0.97919380808048295</c:v>
                </c:pt>
                <c:pt idx="537">
                  <c:v>0.99811683477959201</c:v>
                </c:pt>
                <c:pt idx="539">
                  <c:v>0.97467324725175997</c:v>
                </c:pt>
                <c:pt idx="540">
                  <c:v>1.45733373511415</c:v>
                </c:pt>
                <c:pt idx="541">
                  <c:v>0.95382452672463003</c:v>
                </c:pt>
                <c:pt idx="542">
                  <c:v>1.0129325242337399</c:v>
                </c:pt>
                <c:pt idx="543">
                  <c:v>0.98818379898026698</c:v>
                </c:pt>
                <c:pt idx="544">
                  <c:v>0.979338712472694</c:v>
                </c:pt>
                <c:pt idx="545">
                  <c:v>0.93764703575724395</c:v>
                </c:pt>
                <c:pt idx="546">
                  <c:v>0.98625125542087499</c:v>
                </c:pt>
                <c:pt idx="547">
                  <c:v>0.97188855428987198</c:v>
                </c:pt>
                <c:pt idx="548">
                  <c:v>0.98036081164563105</c:v>
                </c:pt>
                <c:pt idx="549">
                  <c:v>1.1481978897529399</c:v>
                </c:pt>
                <c:pt idx="551">
                  <c:v>1.0072138703236699</c:v>
                </c:pt>
                <c:pt idx="552">
                  <c:v>0.90713370025246698</c:v>
                </c:pt>
                <c:pt idx="553">
                  <c:v>0.96732095129565199</c:v>
                </c:pt>
                <c:pt idx="554">
                  <c:v>0.93449166689763896</c:v>
                </c:pt>
                <c:pt idx="555">
                  <c:v>0.98370634352399999</c:v>
                </c:pt>
                <c:pt idx="556">
                  <c:v>1.0042967671394001</c:v>
                </c:pt>
                <c:pt idx="557">
                  <c:v>0.99305918808153204</c:v>
                </c:pt>
                <c:pt idx="558">
                  <c:v>0.98952145899786903</c:v>
                </c:pt>
                <c:pt idx="559">
                  <c:v>1.00437162366632</c:v>
                </c:pt>
                <c:pt idx="560">
                  <c:v>0.98917777438668997</c:v>
                </c:pt>
                <c:pt idx="561">
                  <c:v>0.98976065520004997</c:v>
                </c:pt>
                <c:pt idx="562">
                  <c:v>1.0371376949758999</c:v>
                </c:pt>
                <c:pt idx="563">
                  <c:v>0.94066201805687399</c:v>
                </c:pt>
                <c:pt idx="564">
                  <c:v>0.97789056309496303</c:v>
                </c:pt>
                <c:pt idx="565">
                  <c:v>0.90890790621404305</c:v>
                </c:pt>
                <c:pt idx="566">
                  <c:v>0.978453172455787</c:v>
                </c:pt>
                <c:pt idx="567">
                  <c:v>0.97388129997165196</c:v>
                </c:pt>
                <c:pt idx="568">
                  <c:v>2.00732416439071</c:v>
                </c:pt>
                <c:pt idx="569">
                  <c:v>0.98741123611635295</c:v>
                </c:pt>
                <c:pt idx="570">
                  <c:v>0.96926136977058397</c:v>
                </c:pt>
                <c:pt idx="571">
                  <c:v>1.0299283505080901</c:v>
                </c:pt>
                <c:pt idx="572">
                  <c:v>0.96251345952089296</c:v>
                </c:pt>
                <c:pt idx="573">
                  <c:v>1.6447292674564</c:v>
                </c:pt>
                <c:pt idx="574">
                  <c:v>0.97338621960543004</c:v>
                </c:pt>
                <c:pt idx="575">
                  <c:v>0.97967187995680605</c:v>
                </c:pt>
                <c:pt idx="576">
                  <c:v>0.99481167503643397</c:v>
                </c:pt>
                <c:pt idx="577">
                  <c:v>0.96038346194268098</c:v>
                </c:pt>
                <c:pt idx="578">
                  <c:v>0.97893542793772503</c:v>
                </c:pt>
                <c:pt idx="579">
                  <c:v>0.97949564153534696</c:v>
                </c:pt>
                <c:pt idx="580">
                  <c:v>0.98786495318857404</c:v>
                </c:pt>
                <c:pt idx="581">
                  <c:v>0.91071777980882795</c:v>
                </c:pt>
                <c:pt idx="582">
                  <c:v>0.99007123718324996</c:v>
                </c:pt>
                <c:pt idx="583">
                  <c:v>0.97423558964985202</c:v>
                </c:pt>
                <c:pt idx="584">
                  <c:v>2.7356729720862498</c:v>
                </c:pt>
                <c:pt idx="585">
                  <c:v>0.99860107497977901</c:v>
                </c:pt>
                <c:pt idx="586">
                  <c:v>0.99991639317268899</c:v>
                </c:pt>
                <c:pt idx="587">
                  <c:v>0.99065604001454299</c:v>
                </c:pt>
                <c:pt idx="588">
                  <c:v>5.1345755097746704</c:v>
                </c:pt>
                <c:pt idx="589">
                  <c:v>0.99910594471015501</c:v>
                </c:pt>
                <c:pt idx="590">
                  <c:v>0.95154859383187196</c:v>
                </c:pt>
                <c:pt idx="591">
                  <c:v>1.31066563979561</c:v>
                </c:pt>
                <c:pt idx="592">
                  <c:v>0.991849836945353</c:v>
                </c:pt>
                <c:pt idx="593">
                  <c:v>0.98899281487233504</c:v>
                </c:pt>
                <c:pt idx="594">
                  <c:v>1.0061785299710899</c:v>
                </c:pt>
                <c:pt idx="595">
                  <c:v>1.27817799940525</c:v>
                </c:pt>
                <c:pt idx="596">
                  <c:v>0.97743297694994202</c:v>
                </c:pt>
                <c:pt idx="597">
                  <c:v>0.949427212968734</c:v>
                </c:pt>
                <c:pt idx="598">
                  <c:v>1.0114176210727099</c:v>
                </c:pt>
                <c:pt idx="599">
                  <c:v>0.98951949859830102</c:v>
                </c:pt>
                <c:pt idx="600">
                  <c:v>0.99361504198917605</c:v>
                </c:pt>
                <c:pt idx="601">
                  <c:v>1.1068191913260701</c:v>
                </c:pt>
                <c:pt idx="602">
                  <c:v>1.68850238969726</c:v>
                </c:pt>
                <c:pt idx="603">
                  <c:v>1.0010298950418799</c:v>
                </c:pt>
                <c:pt idx="604">
                  <c:v>0.99258290813875605</c:v>
                </c:pt>
                <c:pt idx="605">
                  <c:v>0.95224693440445995</c:v>
                </c:pt>
                <c:pt idx="606">
                  <c:v>0.98327012272576797</c:v>
                </c:pt>
                <c:pt idx="607">
                  <c:v>1.0045133330243099</c:v>
                </c:pt>
                <c:pt idx="608">
                  <c:v>0.99555265894115497</c:v>
                </c:pt>
                <c:pt idx="609">
                  <c:v>1.00100000272297</c:v>
                </c:pt>
                <c:pt idx="610">
                  <c:v>0.99092003934962902</c:v>
                </c:pt>
                <c:pt idx="611">
                  <c:v>0.99906716539477602</c:v>
                </c:pt>
                <c:pt idx="612">
                  <c:v>1.02635355201533</c:v>
                </c:pt>
                <c:pt idx="613">
                  <c:v>0.94391287755349096</c:v>
                </c:pt>
                <c:pt idx="614">
                  <c:v>0.90092777517508105</c:v>
                </c:pt>
                <c:pt idx="615">
                  <c:v>6.380590433679</c:v>
                </c:pt>
                <c:pt idx="616">
                  <c:v>0.99874324208338205</c:v>
                </c:pt>
                <c:pt idx="617">
                  <c:v>1.00038031557665</c:v>
                </c:pt>
                <c:pt idx="618">
                  <c:v>0.98321309785548305</c:v>
                </c:pt>
                <c:pt idx="619">
                  <c:v>0.95594277139324701</c:v>
                </c:pt>
                <c:pt idx="620">
                  <c:v>0.99549744983569899</c:v>
                </c:pt>
                <c:pt idx="621">
                  <c:v>0.97027610032838396</c:v>
                </c:pt>
                <c:pt idx="622">
                  <c:v>1.0913829825069301</c:v>
                </c:pt>
                <c:pt idx="623">
                  <c:v>1.0748638136086299</c:v>
                </c:pt>
                <c:pt idx="624">
                  <c:v>0.99096981871138601</c:v>
                </c:pt>
                <c:pt idx="625">
                  <c:v>0.94165969463375399</c:v>
                </c:pt>
                <c:pt idx="626">
                  <c:v>0.99853017193538596</c:v>
                </c:pt>
                <c:pt idx="627">
                  <c:v>1.0214697587665</c:v>
                </c:pt>
                <c:pt idx="628">
                  <c:v>0.93063312657434805</c:v>
                </c:pt>
                <c:pt idx="629">
                  <c:v>1.1823489797056199</c:v>
                </c:pt>
                <c:pt idx="630">
                  <c:v>0.94423217048799801</c:v>
                </c:pt>
                <c:pt idx="631">
                  <c:v>1.0011672682568</c:v>
                </c:pt>
                <c:pt idx="632">
                  <c:v>1.0104614447090701</c:v>
                </c:pt>
                <c:pt idx="633">
                  <c:v>0.96827032643882704</c:v>
                </c:pt>
                <c:pt idx="634">
                  <c:v>1.0273838018067301</c:v>
                </c:pt>
                <c:pt idx="635">
                  <c:v>1.3570649579515399</c:v>
                </c:pt>
                <c:pt idx="636">
                  <c:v>0.97758542557125205</c:v>
                </c:pt>
                <c:pt idx="637">
                  <c:v>0.99297574689460599</c:v>
                </c:pt>
                <c:pt idx="638">
                  <c:v>0.99873457307511304</c:v>
                </c:pt>
                <c:pt idx="639">
                  <c:v>1.0440739765721001</c:v>
                </c:pt>
                <c:pt idx="640">
                  <c:v>0.97187912454520098</c:v>
                </c:pt>
                <c:pt idx="641">
                  <c:v>0.97648286217431302</c:v>
                </c:pt>
                <c:pt idx="642">
                  <c:v>0.97552519492335099</c:v>
                </c:pt>
                <c:pt idx="643">
                  <c:v>1.01585249548345</c:v>
                </c:pt>
                <c:pt idx="644">
                  <c:v>0.99608096043393202</c:v>
                </c:pt>
                <c:pt idx="645">
                  <c:v>0.96024998833507402</c:v>
                </c:pt>
                <c:pt idx="646">
                  <c:v>0.99595588172678196</c:v>
                </c:pt>
                <c:pt idx="647">
                  <c:v>1.00082212025339</c:v>
                </c:pt>
                <c:pt idx="648">
                  <c:v>0.98917430836303699</c:v>
                </c:pt>
                <c:pt idx="649">
                  <c:v>1.0392587575130701</c:v>
                </c:pt>
                <c:pt idx="650">
                  <c:v>0.98991534691188299</c:v>
                </c:pt>
                <c:pt idx="651">
                  <c:v>0.95386264023393597</c:v>
                </c:pt>
                <c:pt idx="652">
                  <c:v>0.98211838140487395</c:v>
                </c:pt>
                <c:pt idx="653">
                  <c:v>0.997963248532028</c:v>
                </c:pt>
                <c:pt idx="654">
                  <c:v>0.95616512006349796</c:v>
                </c:pt>
                <c:pt idx="655">
                  <c:v>0.96734414794867196</c:v>
                </c:pt>
                <c:pt idx="656">
                  <c:v>0.99882819971983094</c:v>
                </c:pt>
                <c:pt idx="657">
                  <c:v>1.5823852429312699</c:v>
                </c:pt>
                <c:pt idx="658">
                  <c:v>1.2978570827273901</c:v>
                </c:pt>
                <c:pt idx="659">
                  <c:v>1.0319241739870799</c:v>
                </c:pt>
                <c:pt idx="660">
                  <c:v>0.99178422521431098</c:v>
                </c:pt>
                <c:pt idx="661">
                  <c:v>0.96924358804234401</c:v>
                </c:pt>
                <c:pt idx="662">
                  <c:v>0.95549798983614298</c:v>
                </c:pt>
                <c:pt idx="663">
                  <c:v>1.0290599943063601</c:v>
                </c:pt>
                <c:pt idx="664">
                  <c:v>1.0664427713878</c:v>
                </c:pt>
                <c:pt idx="665">
                  <c:v>0.99558084037554895</c:v>
                </c:pt>
                <c:pt idx="666">
                  <c:v>0.98102740451913395</c:v>
                </c:pt>
                <c:pt idx="667">
                  <c:v>1.1169630795076899</c:v>
                </c:pt>
                <c:pt idx="668">
                  <c:v>1.01959628984879</c:v>
                </c:pt>
                <c:pt idx="669">
                  <c:v>0.95899920206639599</c:v>
                </c:pt>
                <c:pt idx="670">
                  <c:v>0.96135889338485803</c:v>
                </c:pt>
                <c:pt idx="671">
                  <c:v>0.97863372161208695</c:v>
                </c:pt>
                <c:pt idx="672">
                  <c:v>0.97973072309779097</c:v>
                </c:pt>
                <c:pt idx="673">
                  <c:v>0.95833501071186999</c:v>
                </c:pt>
                <c:pt idx="674">
                  <c:v>0.99255952722407503</c:v>
                </c:pt>
                <c:pt idx="675">
                  <c:v>0.92319741934448196</c:v>
                </c:pt>
                <c:pt idx="676">
                  <c:v>0.99395928911078701</c:v>
                </c:pt>
                <c:pt idx="677">
                  <c:v>1.7927840532561099</c:v>
                </c:pt>
                <c:pt idx="678">
                  <c:v>0.97077575199285804</c:v>
                </c:pt>
                <c:pt idx="679">
                  <c:v>0.96663924039897997</c:v>
                </c:pt>
                <c:pt idx="680">
                  <c:v>0.97055424701515103</c:v>
                </c:pt>
                <c:pt idx="681">
                  <c:v>1.54116384628745</c:v>
                </c:pt>
                <c:pt idx="682">
                  <c:v>0.99984414469273197</c:v>
                </c:pt>
                <c:pt idx="683">
                  <c:v>0.98544842283373701</c:v>
                </c:pt>
                <c:pt idx="684">
                  <c:v>0.97013016177548905</c:v>
                </c:pt>
                <c:pt idx="685">
                  <c:v>1.8583975589806501</c:v>
                </c:pt>
                <c:pt idx="686">
                  <c:v>0.964266609489143</c:v>
                </c:pt>
                <c:pt idx="687">
                  <c:v>0.98974708973016401</c:v>
                </c:pt>
                <c:pt idx="688">
                  <c:v>0.98356187020012698</c:v>
                </c:pt>
                <c:pt idx="689">
                  <c:v>1.0048326129526901</c:v>
                </c:pt>
                <c:pt idx="690">
                  <c:v>0.95832494073962904</c:v>
                </c:pt>
                <c:pt idx="691">
                  <c:v>0.97359973390189902</c:v>
                </c:pt>
                <c:pt idx="692">
                  <c:v>1.0998037581840501</c:v>
                </c:pt>
                <c:pt idx="693">
                  <c:v>0.91510807347075895</c:v>
                </c:pt>
                <c:pt idx="694">
                  <c:v>0.99871911698172</c:v>
                </c:pt>
                <c:pt idx="695">
                  <c:v>1.0005447378332899</c:v>
                </c:pt>
                <c:pt idx="696">
                  <c:v>0.95574473566923202</c:v>
                </c:pt>
                <c:pt idx="697">
                  <c:v>0.96659649547911597</c:v>
                </c:pt>
                <c:pt idx="698">
                  <c:v>0.99753424899395904</c:v>
                </c:pt>
                <c:pt idx="699">
                  <c:v>0.99657574765054202</c:v>
                </c:pt>
                <c:pt idx="700">
                  <c:v>0.96381452070824603</c:v>
                </c:pt>
                <c:pt idx="701">
                  <c:v>0.97259390490663999</c:v>
                </c:pt>
                <c:pt idx="702">
                  <c:v>0.966497098200511</c:v>
                </c:pt>
                <c:pt idx="703">
                  <c:v>0.99094849599177703</c:v>
                </c:pt>
                <c:pt idx="704">
                  <c:v>0.97822719900901101</c:v>
                </c:pt>
                <c:pt idx="705">
                  <c:v>0.982294058998047</c:v>
                </c:pt>
                <c:pt idx="706">
                  <c:v>0.99062222764752095</c:v>
                </c:pt>
                <c:pt idx="707">
                  <c:v>0.95632231707702997</c:v>
                </c:pt>
                <c:pt idx="708">
                  <c:v>0.90405977684950301</c:v>
                </c:pt>
                <c:pt idx="709">
                  <c:v>0.99922274587950499</c:v>
                </c:pt>
                <c:pt idx="710">
                  <c:v>1.11542979367689</c:v>
                </c:pt>
                <c:pt idx="711">
                  <c:v>0.99087666440200095</c:v>
                </c:pt>
                <c:pt idx="712">
                  <c:v>1.0001308025699001</c:v>
                </c:pt>
                <c:pt idx="713">
                  <c:v>0.99559275279520698</c:v>
                </c:pt>
                <c:pt idx="714">
                  <c:v>1.0122947466424099</c:v>
                </c:pt>
                <c:pt idx="715">
                  <c:v>0.99476198682461403</c:v>
                </c:pt>
                <c:pt idx="716">
                  <c:v>0.96607419004283202</c:v>
                </c:pt>
                <c:pt idx="717">
                  <c:v>1.1722589759448701</c:v>
                </c:pt>
                <c:pt idx="718">
                  <c:v>0.964274887859215</c:v>
                </c:pt>
                <c:pt idx="719">
                  <c:v>0.98183991906428703</c:v>
                </c:pt>
                <c:pt idx="720">
                  <c:v>0.96833649763025997</c:v>
                </c:pt>
                <c:pt idx="721">
                  <c:v>1.0017639844716899</c:v>
                </c:pt>
                <c:pt idx="722">
                  <c:v>1.0005469244352401</c:v>
                </c:pt>
                <c:pt idx="723">
                  <c:v>1.00221112029381</c:v>
                </c:pt>
                <c:pt idx="724">
                  <c:v>0.98757843235175102</c:v>
                </c:pt>
                <c:pt idx="725">
                  <c:v>0.99716851387158001</c:v>
                </c:pt>
                <c:pt idx="726">
                  <c:v>1.05157692952356</c:v>
                </c:pt>
                <c:pt idx="727">
                  <c:v>0.97550394947955699</c:v>
                </c:pt>
                <c:pt idx="728">
                  <c:v>0.99503992725672097</c:v>
                </c:pt>
                <c:pt idx="729">
                  <c:v>0.98783919175263402</c:v>
                </c:pt>
                <c:pt idx="730">
                  <c:v>1.00652510337747</c:v>
                </c:pt>
                <c:pt idx="731">
                  <c:v>0.92223531026317895</c:v>
                </c:pt>
                <c:pt idx="733">
                  <c:v>1.0284489372102099</c:v>
                </c:pt>
                <c:pt idx="734">
                  <c:v>1.0015460963101599</c:v>
                </c:pt>
                <c:pt idx="735">
                  <c:v>1.47102646706911</c:v>
                </c:pt>
                <c:pt idx="736">
                  <c:v>0.99617842769184295</c:v>
                </c:pt>
                <c:pt idx="737">
                  <c:v>0.91982877622136305</c:v>
                </c:pt>
                <c:pt idx="738">
                  <c:v>1.0010030721113701</c:v>
                </c:pt>
                <c:pt idx="739">
                  <c:v>1.00453067351434</c:v>
                </c:pt>
                <c:pt idx="740">
                  <c:v>1.00842187266921</c:v>
                </c:pt>
                <c:pt idx="741">
                  <c:v>0.97423904719735899</c:v>
                </c:pt>
                <c:pt idx="742">
                  <c:v>0.96645018732066501</c:v>
                </c:pt>
                <c:pt idx="743">
                  <c:v>1.4369221802150001</c:v>
                </c:pt>
                <c:pt idx="744">
                  <c:v>0.99251589443620902</c:v>
                </c:pt>
                <c:pt idx="745">
                  <c:v>0.98606505645322795</c:v>
                </c:pt>
                <c:pt idx="746">
                  <c:v>1.0021759384578199</c:v>
                </c:pt>
                <c:pt idx="747">
                  <c:v>0.96748425143209105</c:v>
                </c:pt>
                <c:pt idx="748">
                  <c:v>1.00374314859129</c:v>
                </c:pt>
                <c:pt idx="749">
                  <c:v>0.96045483824074696</c:v>
                </c:pt>
                <c:pt idx="750">
                  <c:v>2.66915149297748</c:v>
                </c:pt>
                <c:pt idx="751">
                  <c:v>0.98659157973226397</c:v>
                </c:pt>
                <c:pt idx="752">
                  <c:v>0.98927216962513398</c:v>
                </c:pt>
                <c:pt idx="753">
                  <c:v>0.99570101501738595</c:v>
                </c:pt>
                <c:pt idx="754">
                  <c:v>0.90220240428257004</c:v>
                </c:pt>
                <c:pt idx="755">
                  <c:v>1.0045690634939901</c:v>
                </c:pt>
                <c:pt idx="756">
                  <c:v>1.17964501349705</c:v>
                </c:pt>
                <c:pt idx="757">
                  <c:v>0.98517201580579805</c:v>
                </c:pt>
                <c:pt idx="758">
                  <c:v>0.93517457905255097</c:v>
                </c:pt>
                <c:pt idx="759">
                  <c:v>0.98291390297529901</c:v>
                </c:pt>
                <c:pt idx="760">
                  <c:v>0.92263783820853196</c:v>
                </c:pt>
                <c:pt idx="761">
                  <c:v>0.99592659638370895</c:v>
                </c:pt>
                <c:pt idx="762">
                  <c:v>1.0095287633680201</c:v>
                </c:pt>
                <c:pt idx="763">
                  <c:v>0.96558494492545999</c:v>
                </c:pt>
                <c:pt idx="764">
                  <c:v>0.99154621476059301</c:v>
                </c:pt>
                <c:pt idx="765">
                  <c:v>0.94684688556792995</c:v>
                </c:pt>
                <c:pt idx="766">
                  <c:v>0.99430370266868795</c:v>
                </c:pt>
                <c:pt idx="767">
                  <c:v>0.97652814533677601</c:v>
                </c:pt>
                <c:pt idx="768">
                  <c:v>0.959925249542953</c:v>
                </c:pt>
                <c:pt idx="769">
                  <c:v>0.99554166244080899</c:v>
                </c:pt>
                <c:pt idx="770">
                  <c:v>0.99879170395086303</c:v>
                </c:pt>
                <c:pt idx="771">
                  <c:v>1.19006891182452</c:v>
                </c:pt>
                <c:pt idx="772">
                  <c:v>2.26248219800899</c:v>
                </c:pt>
                <c:pt idx="773">
                  <c:v>0.98673532314909496</c:v>
                </c:pt>
                <c:pt idx="774">
                  <c:v>0.96915717911397803</c:v>
                </c:pt>
                <c:pt idx="775">
                  <c:v>0.95004993136259597</c:v>
                </c:pt>
                <c:pt idx="776">
                  <c:v>0.98226492788243303</c:v>
                </c:pt>
                <c:pt idx="777">
                  <c:v>1.0040948047413101</c:v>
                </c:pt>
                <c:pt idx="778">
                  <c:v>0.98173511542400005</c:v>
                </c:pt>
                <c:pt idx="779">
                  <c:v>0.99076170093724003</c:v>
                </c:pt>
                <c:pt idx="780">
                  <c:v>0.93943605046401002</c:v>
                </c:pt>
                <c:pt idx="781">
                  <c:v>0.92329039053657502</c:v>
                </c:pt>
                <c:pt idx="782">
                  <c:v>0.96203580842187597</c:v>
                </c:pt>
                <c:pt idx="783">
                  <c:v>0.99871783518017199</c:v>
                </c:pt>
                <c:pt idx="784">
                  <c:v>2.5307946886117798</c:v>
                </c:pt>
                <c:pt idx="785">
                  <c:v>0.90197108293550998</c:v>
                </c:pt>
                <c:pt idx="786">
                  <c:v>1.2509337203961</c:v>
                </c:pt>
                <c:pt idx="787">
                  <c:v>0.99924701353671397</c:v>
                </c:pt>
                <c:pt idx="788">
                  <c:v>0.98667217837178001</c:v>
                </c:pt>
                <c:pt idx="789">
                  <c:v>1.01640191342438</c:v>
                </c:pt>
                <c:pt idx="790">
                  <c:v>0.96848890321169701</c:v>
                </c:pt>
                <c:pt idx="791">
                  <c:v>1.0035270257704401</c:v>
                </c:pt>
                <c:pt idx="792">
                  <c:v>0.98481017805510895</c:v>
                </c:pt>
                <c:pt idx="793">
                  <c:v>0.96201738930386804</c:v>
                </c:pt>
                <c:pt idx="794">
                  <c:v>2.6644776706132398</c:v>
                </c:pt>
                <c:pt idx="795">
                  <c:v>0.89630327771769502</c:v>
                </c:pt>
                <c:pt idx="796">
                  <c:v>0.952036832267393</c:v>
                </c:pt>
                <c:pt idx="797">
                  <c:v>0.96092984712897</c:v>
                </c:pt>
                <c:pt idx="798">
                  <c:v>1.0091901807431101</c:v>
                </c:pt>
                <c:pt idx="799">
                  <c:v>1.0013311724648499</c:v>
                </c:pt>
                <c:pt idx="800">
                  <c:v>0.93575408835473095</c:v>
                </c:pt>
                <c:pt idx="801">
                  <c:v>0.98760399425888201</c:v>
                </c:pt>
                <c:pt idx="802">
                  <c:v>0.97551743783090406</c:v>
                </c:pt>
                <c:pt idx="803">
                  <c:v>1.00017158319526</c:v>
                </c:pt>
                <c:pt idx="804">
                  <c:v>0.97740727047371601</c:v>
                </c:pt>
                <c:pt idx="805">
                  <c:v>0.90326258759594702</c:v>
                </c:pt>
                <c:pt idx="807">
                  <c:v>0.98561029140272305</c:v>
                </c:pt>
                <c:pt idx="808">
                  <c:v>0.98628977132220497</c:v>
                </c:pt>
                <c:pt idx="809">
                  <c:v>1.0596811805395501</c:v>
                </c:pt>
                <c:pt idx="810">
                  <c:v>1.0024432604420801</c:v>
                </c:pt>
                <c:pt idx="811">
                  <c:v>0.99911008697523696</c:v>
                </c:pt>
                <c:pt idx="812">
                  <c:v>1.01979163873769</c:v>
                </c:pt>
                <c:pt idx="813">
                  <c:v>0.97989879918760103</c:v>
                </c:pt>
                <c:pt idx="814">
                  <c:v>0.95010934299058403</c:v>
                </c:pt>
                <c:pt idx="815">
                  <c:v>0.94995458523399001</c:v>
                </c:pt>
                <c:pt idx="816">
                  <c:v>0.95842756966029896</c:v>
                </c:pt>
                <c:pt idx="817">
                  <c:v>0.95565110146568399</c:v>
                </c:pt>
                <c:pt idx="818">
                  <c:v>0.93221288845601402</c:v>
                </c:pt>
                <c:pt idx="819">
                  <c:v>0.953038573757508</c:v>
                </c:pt>
                <c:pt idx="820">
                  <c:v>1.04423421750319</c:v>
                </c:pt>
                <c:pt idx="821">
                  <c:v>0.94949609034605398</c:v>
                </c:pt>
                <c:pt idx="822">
                  <c:v>0.94565155871464801</c:v>
                </c:pt>
                <c:pt idx="823">
                  <c:v>0.96075459127701002</c:v>
                </c:pt>
                <c:pt idx="824">
                  <c:v>0.91560226957072699</c:v>
                </c:pt>
                <c:pt idx="825">
                  <c:v>0.89944154322515102</c:v>
                </c:pt>
                <c:pt idx="826">
                  <c:v>1.0001504695935</c:v>
                </c:pt>
                <c:pt idx="827">
                  <c:v>1.0039422060511201</c:v>
                </c:pt>
                <c:pt idx="828">
                  <c:v>0.97540916051962501</c:v>
                </c:pt>
                <c:pt idx="829">
                  <c:v>1.0250623905023599</c:v>
                </c:pt>
                <c:pt idx="830">
                  <c:v>0.94069063223810001</c:v>
                </c:pt>
                <c:pt idx="831">
                  <c:v>0.96805281530922604</c:v>
                </c:pt>
                <c:pt idx="832">
                  <c:v>1.00545329225346</c:v>
                </c:pt>
                <c:pt idx="833">
                  <c:v>0.99929274554635095</c:v>
                </c:pt>
                <c:pt idx="834">
                  <c:v>0.98036753348883698</c:v>
                </c:pt>
                <c:pt idx="835">
                  <c:v>0.97802155425467996</c:v>
                </c:pt>
                <c:pt idx="836">
                  <c:v>0.93344880577822997</c:v>
                </c:pt>
                <c:pt idx="837">
                  <c:v>1.02282909081361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F-4CE8-B75B-40FB4CDAC5D9}"/>
            </c:ext>
          </c:extLst>
        </c:ser>
        <c:ser>
          <c:idx val="1"/>
          <c:order val="2"/>
          <c:tx>
            <c:strRef>
              <c:f>mc_vs_cyme!$D$1</c:f>
              <c:strCache>
                <c:ptCount val="1"/>
                <c:pt idx="0">
                  <c:v>VC_MC_mean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hade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shade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hade val="70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mc_vs_cyme!$D$2:$D$839</c:f>
              <c:numCache>
                <c:formatCode>0.00000</c:formatCode>
                <c:ptCount val="838"/>
                <c:pt idx="0">
                  <c:v>0.99082821295141699</c:v>
                </c:pt>
                <c:pt idx="1">
                  <c:v>1.0100797246489399</c:v>
                </c:pt>
                <c:pt idx="2">
                  <c:v>0.989813298940311</c:v>
                </c:pt>
                <c:pt idx="3">
                  <c:v>0.97251781787103597</c:v>
                </c:pt>
                <c:pt idx="4">
                  <c:v>1.29276290620597</c:v>
                </c:pt>
                <c:pt idx="5">
                  <c:v>0.97930591151372903</c:v>
                </c:pt>
                <c:pt idx="6">
                  <c:v>1.0115477426597801</c:v>
                </c:pt>
                <c:pt idx="7">
                  <c:v>1.0026570076132499</c:v>
                </c:pt>
                <c:pt idx="8">
                  <c:v>0.99646457985461701</c:v>
                </c:pt>
                <c:pt idx="9">
                  <c:v>0.99695541129731502</c:v>
                </c:pt>
                <c:pt idx="10">
                  <c:v>0.92067626382657597</c:v>
                </c:pt>
                <c:pt idx="11">
                  <c:v>1.0070966812703099</c:v>
                </c:pt>
                <c:pt idx="12">
                  <c:v>0.989753817489471</c:v>
                </c:pt>
                <c:pt idx="13">
                  <c:v>0.997940092108622</c:v>
                </c:pt>
                <c:pt idx="14">
                  <c:v>0.99896468042561004</c:v>
                </c:pt>
                <c:pt idx="15">
                  <c:v>1.00063427159484</c:v>
                </c:pt>
                <c:pt idx="16">
                  <c:v>0.886213343283352</c:v>
                </c:pt>
                <c:pt idx="17">
                  <c:v>0.96688345459071801</c:v>
                </c:pt>
                <c:pt idx="18">
                  <c:v>1.0051271418865499</c:v>
                </c:pt>
                <c:pt idx="19">
                  <c:v>0.99726872828080204</c:v>
                </c:pt>
                <c:pt idx="20">
                  <c:v>0.95664583015563298</c:v>
                </c:pt>
                <c:pt idx="21">
                  <c:v>1.0122546543425699</c:v>
                </c:pt>
                <c:pt idx="22">
                  <c:v>0.97169114374454202</c:v>
                </c:pt>
                <c:pt idx="23">
                  <c:v>1.09419027909306</c:v>
                </c:pt>
                <c:pt idx="24">
                  <c:v>0.95572116006344199</c:v>
                </c:pt>
                <c:pt idx="25">
                  <c:v>0.99615804338795699</c:v>
                </c:pt>
                <c:pt idx="26">
                  <c:v>0.97450925566427404</c:v>
                </c:pt>
                <c:pt idx="27">
                  <c:v>0.98501954936700598</c:v>
                </c:pt>
                <c:pt idx="28">
                  <c:v>0.929022575856286</c:v>
                </c:pt>
                <c:pt idx="29">
                  <c:v>0.99352551532108901</c:v>
                </c:pt>
                <c:pt idx="30">
                  <c:v>0.94051956771815504</c:v>
                </c:pt>
                <c:pt idx="31">
                  <c:v>0.99382341308928202</c:v>
                </c:pt>
                <c:pt idx="32">
                  <c:v>0.97584936978772896</c:v>
                </c:pt>
                <c:pt idx="33">
                  <c:v>0.959482898590028</c:v>
                </c:pt>
                <c:pt idx="34">
                  <c:v>0.95823091219044798</c:v>
                </c:pt>
                <c:pt idx="35">
                  <c:v>0.97139092931702198</c:v>
                </c:pt>
                <c:pt idx="36">
                  <c:v>0.95176304525170496</c:v>
                </c:pt>
                <c:pt idx="37">
                  <c:v>0.96198475709665898</c:v>
                </c:pt>
                <c:pt idx="38">
                  <c:v>0.97658466103466901</c:v>
                </c:pt>
                <c:pt idx="39">
                  <c:v>0.94698130761779897</c:v>
                </c:pt>
                <c:pt idx="40">
                  <c:v>0.96289214716823002</c:v>
                </c:pt>
                <c:pt idx="41">
                  <c:v>0.99375158211963699</c:v>
                </c:pt>
                <c:pt idx="42">
                  <c:v>0.98930374795712395</c:v>
                </c:pt>
                <c:pt idx="43">
                  <c:v>1.0604035225803701</c:v>
                </c:pt>
                <c:pt idx="44">
                  <c:v>0.99520805799473799</c:v>
                </c:pt>
                <c:pt idx="45">
                  <c:v>1.14698791968105</c:v>
                </c:pt>
                <c:pt idx="46">
                  <c:v>0.99833333788652501</c:v>
                </c:pt>
                <c:pt idx="48">
                  <c:v>1.0034725436521099</c:v>
                </c:pt>
                <c:pt idx="49">
                  <c:v>0.90546017014200797</c:v>
                </c:pt>
                <c:pt idx="50">
                  <c:v>1.2871682426271001</c:v>
                </c:pt>
                <c:pt idx="51">
                  <c:v>1.0036126342373901</c:v>
                </c:pt>
                <c:pt idx="52">
                  <c:v>0.9958390240667</c:v>
                </c:pt>
                <c:pt idx="53">
                  <c:v>0.992856376166948</c:v>
                </c:pt>
                <c:pt idx="54">
                  <c:v>1.00755819955417</c:v>
                </c:pt>
                <c:pt idx="55">
                  <c:v>1.01659036425289</c:v>
                </c:pt>
                <c:pt idx="56">
                  <c:v>0.96918869296955301</c:v>
                </c:pt>
                <c:pt idx="57">
                  <c:v>0.96146323069499895</c:v>
                </c:pt>
                <c:pt idx="58">
                  <c:v>1.0933165787864501</c:v>
                </c:pt>
                <c:pt idx="59">
                  <c:v>0.96443962607855704</c:v>
                </c:pt>
                <c:pt idx="60">
                  <c:v>0.98913128178031995</c:v>
                </c:pt>
                <c:pt idx="61">
                  <c:v>0.98503604873448503</c:v>
                </c:pt>
                <c:pt idx="62">
                  <c:v>5.0729317184230496</c:v>
                </c:pt>
                <c:pt idx="63">
                  <c:v>1.0032856015687699</c:v>
                </c:pt>
                <c:pt idx="64">
                  <c:v>0.93711913532578806</c:v>
                </c:pt>
                <c:pt idx="65">
                  <c:v>1.21546629577136</c:v>
                </c:pt>
                <c:pt idx="66">
                  <c:v>0.99602835863066197</c:v>
                </c:pt>
                <c:pt idx="67">
                  <c:v>1.8164961090990099</c:v>
                </c:pt>
                <c:pt idx="68">
                  <c:v>0.96029446880588298</c:v>
                </c:pt>
                <c:pt idx="69">
                  <c:v>0.95040374019097595</c:v>
                </c:pt>
                <c:pt idx="70">
                  <c:v>0.98068487789199899</c:v>
                </c:pt>
                <c:pt idx="71">
                  <c:v>1.0031964600385701</c:v>
                </c:pt>
                <c:pt idx="72">
                  <c:v>1.0015808108289399</c:v>
                </c:pt>
                <c:pt idx="73">
                  <c:v>0.96919814969283702</c:v>
                </c:pt>
                <c:pt idx="74">
                  <c:v>0.95931992037744696</c:v>
                </c:pt>
                <c:pt idx="75">
                  <c:v>0.98719482580565099</c:v>
                </c:pt>
                <c:pt idx="76">
                  <c:v>0.98317291555623498</c:v>
                </c:pt>
                <c:pt idx="77">
                  <c:v>1.00037440501652</c:v>
                </c:pt>
                <c:pt idx="78">
                  <c:v>1.0027627452563701</c:v>
                </c:pt>
                <c:pt idx="79">
                  <c:v>0.99105537034832902</c:v>
                </c:pt>
                <c:pt idx="80">
                  <c:v>0.97846593111261804</c:v>
                </c:pt>
                <c:pt idx="81">
                  <c:v>0.94121229161867404</c:v>
                </c:pt>
                <c:pt idx="82">
                  <c:v>1.0350397553355599</c:v>
                </c:pt>
                <c:pt idx="83">
                  <c:v>1.2384893150890299</c:v>
                </c:pt>
                <c:pt idx="84">
                  <c:v>1.0047183227210299</c:v>
                </c:pt>
                <c:pt idx="85">
                  <c:v>1.44296116568238</c:v>
                </c:pt>
                <c:pt idx="86">
                  <c:v>1.0095994534919699</c:v>
                </c:pt>
                <c:pt idx="87">
                  <c:v>0.96490628113476695</c:v>
                </c:pt>
                <c:pt idx="88">
                  <c:v>0.93011375362133297</c:v>
                </c:pt>
                <c:pt idx="89">
                  <c:v>0.99130120974730196</c:v>
                </c:pt>
                <c:pt idx="90">
                  <c:v>0.96883677944094104</c:v>
                </c:pt>
                <c:pt idx="91">
                  <c:v>2.0285391015901402</c:v>
                </c:pt>
                <c:pt idx="92">
                  <c:v>0.99006120562587796</c:v>
                </c:pt>
                <c:pt idx="93">
                  <c:v>0.98962814843716596</c:v>
                </c:pt>
                <c:pt idx="94">
                  <c:v>0.92535190169484605</c:v>
                </c:pt>
                <c:pt idx="95">
                  <c:v>0.98818571500597896</c:v>
                </c:pt>
                <c:pt idx="96">
                  <c:v>0.99907417994186898</c:v>
                </c:pt>
                <c:pt idx="97">
                  <c:v>0.994337166553381</c:v>
                </c:pt>
                <c:pt idx="98">
                  <c:v>0.96211208916660895</c:v>
                </c:pt>
                <c:pt idx="99">
                  <c:v>1.0189494832863299</c:v>
                </c:pt>
                <c:pt idx="100">
                  <c:v>0.89531521119123203</c:v>
                </c:pt>
                <c:pt idx="101">
                  <c:v>1.00772038495142</c:v>
                </c:pt>
                <c:pt idx="102">
                  <c:v>0.94453682346733603</c:v>
                </c:pt>
                <c:pt idx="103">
                  <c:v>0.91745481876127799</c:v>
                </c:pt>
                <c:pt idx="104">
                  <c:v>1.26804694763832</c:v>
                </c:pt>
                <c:pt idx="105">
                  <c:v>0.97544129472550201</c:v>
                </c:pt>
                <c:pt idx="106">
                  <c:v>1.81240953374795</c:v>
                </c:pt>
                <c:pt idx="107">
                  <c:v>1.0711015098082699</c:v>
                </c:pt>
                <c:pt idx="108">
                  <c:v>0.97885709568410695</c:v>
                </c:pt>
                <c:pt idx="109">
                  <c:v>0.99547996041486198</c:v>
                </c:pt>
                <c:pt idx="110">
                  <c:v>1.07593724466138</c:v>
                </c:pt>
                <c:pt idx="111">
                  <c:v>0.966731162780885</c:v>
                </c:pt>
                <c:pt idx="112">
                  <c:v>3.1012340625291701</c:v>
                </c:pt>
                <c:pt idx="113">
                  <c:v>0.99725941479512903</c:v>
                </c:pt>
                <c:pt idx="114">
                  <c:v>0.97935850480251097</c:v>
                </c:pt>
                <c:pt idx="115">
                  <c:v>0.99177847391392704</c:v>
                </c:pt>
                <c:pt idx="116">
                  <c:v>0.90265482023268095</c:v>
                </c:pt>
                <c:pt idx="117">
                  <c:v>0.99701916792635903</c:v>
                </c:pt>
                <c:pt idx="118">
                  <c:v>0.99457582235048503</c:v>
                </c:pt>
                <c:pt idx="119">
                  <c:v>1.00476608264859</c:v>
                </c:pt>
                <c:pt idx="120">
                  <c:v>1.28644155737151</c:v>
                </c:pt>
                <c:pt idx="121">
                  <c:v>0.98420902233829299</c:v>
                </c:pt>
                <c:pt idx="122">
                  <c:v>1.0041756385256799</c:v>
                </c:pt>
                <c:pt idx="123">
                  <c:v>4.5642667095009397</c:v>
                </c:pt>
                <c:pt idx="124">
                  <c:v>0.98920274658520801</c:v>
                </c:pt>
                <c:pt idx="125">
                  <c:v>1.00120299930252</c:v>
                </c:pt>
                <c:pt idx="126">
                  <c:v>1.0369364816614499</c:v>
                </c:pt>
                <c:pt idx="127">
                  <c:v>0.98771756962422097</c:v>
                </c:pt>
                <c:pt idx="128">
                  <c:v>0.96641243526162102</c:v>
                </c:pt>
                <c:pt idx="129">
                  <c:v>1.0038920419394699</c:v>
                </c:pt>
                <c:pt idx="130">
                  <c:v>0.95876871056454505</c:v>
                </c:pt>
                <c:pt idx="131">
                  <c:v>0.96358652736799799</c:v>
                </c:pt>
                <c:pt idx="132">
                  <c:v>0.925357331969765</c:v>
                </c:pt>
                <c:pt idx="133">
                  <c:v>0.95497409326396099</c:v>
                </c:pt>
                <c:pt idx="134">
                  <c:v>0.97430307662070903</c:v>
                </c:pt>
                <c:pt idx="135">
                  <c:v>0.92590774046218605</c:v>
                </c:pt>
                <c:pt idx="136">
                  <c:v>0.97837480935905097</c:v>
                </c:pt>
                <c:pt idx="137">
                  <c:v>0.98068114284742103</c:v>
                </c:pt>
                <c:pt idx="138">
                  <c:v>0.98575418225137601</c:v>
                </c:pt>
                <c:pt idx="139">
                  <c:v>0.98324812170039699</c:v>
                </c:pt>
                <c:pt idx="140">
                  <c:v>1.1112909188808999</c:v>
                </c:pt>
                <c:pt idx="141">
                  <c:v>0.99999999996464395</c:v>
                </c:pt>
                <c:pt idx="142">
                  <c:v>0.97638920632508897</c:v>
                </c:pt>
                <c:pt idx="143">
                  <c:v>0.97994229235125396</c:v>
                </c:pt>
                <c:pt idx="144">
                  <c:v>1.63846732117834</c:v>
                </c:pt>
                <c:pt idx="145">
                  <c:v>0.97294354563615904</c:v>
                </c:pt>
                <c:pt idx="146">
                  <c:v>2.5854707790338298</c:v>
                </c:pt>
                <c:pt idx="147">
                  <c:v>0.99950264291662205</c:v>
                </c:pt>
                <c:pt idx="148">
                  <c:v>1.02361625055332</c:v>
                </c:pt>
                <c:pt idx="149">
                  <c:v>1.0019351603671101</c:v>
                </c:pt>
                <c:pt idx="150">
                  <c:v>0.92208988160599803</c:v>
                </c:pt>
                <c:pt idx="151">
                  <c:v>0.99732169516027402</c:v>
                </c:pt>
                <c:pt idx="152">
                  <c:v>0.95703388598709405</c:v>
                </c:pt>
                <c:pt idx="153">
                  <c:v>0.99892953624376102</c:v>
                </c:pt>
                <c:pt idx="154">
                  <c:v>0.99938901553913895</c:v>
                </c:pt>
                <c:pt idx="155">
                  <c:v>0.96872828987551496</c:v>
                </c:pt>
                <c:pt idx="156">
                  <c:v>1.2380347880962199</c:v>
                </c:pt>
                <c:pt idx="157">
                  <c:v>0.89418080088021901</c:v>
                </c:pt>
                <c:pt idx="158">
                  <c:v>1.0007867312302201</c:v>
                </c:pt>
                <c:pt idx="159">
                  <c:v>0.979364426316509</c:v>
                </c:pt>
                <c:pt idx="160">
                  <c:v>1.0159469776561101</c:v>
                </c:pt>
                <c:pt idx="161">
                  <c:v>0.96649970290529696</c:v>
                </c:pt>
                <c:pt idx="162">
                  <c:v>0.999999999999999</c:v>
                </c:pt>
                <c:pt idx="163">
                  <c:v>0.99620445542745595</c:v>
                </c:pt>
                <c:pt idx="164">
                  <c:v>1.0836341785150401</c:v>
                </c:pt>
                <c:pt idx="165">
                  <c:v>0.91597487404503197</c:v>
                </c:pt>
                <c:pt idx="166">
                  <c:v>0.98071168955527799</c:v>
                </c:pt>
                <c:pt idx="167">
                  <c:v>0.99791384222007495</c:v>
                </c:pt>
                <c:pt idx="168">
                  <c:v>0.95988952437489605</c:v>
                </c:pt>
                <c:pt idx="169">
                  <c:v>0.97036579369662002</c:v>
                </c:pt>
                <c:pt idx="170">
                  <c:v>0.93709018068833005</c:v>
                </c:pt>
                <c:pt idx="171">
                  <c:v>0.99550457649191404</c:v>
                </c:pt>
                <c:pt idx="172">
                  <c:v>0.98667408587944605</c:v>
                </c:pt>
                <c:pt idx="173">
                  <c:v>1.65809995751269</c:v>
                </c:pt>
                <c:pt idx="174">
                  <c:v>0.92676321556843499</c:v>
                </c:pt>
                <c:pt idx="175">
                  <c:v>0.97454872478875898</c:v>
                </c:pt>
                <c:pt idx="176">
                  <c:v>1.3272524878170799</c:v>
                </c:pt>
                <c:pt idx="177">
                  <c:v>1.0380928595773999</c:v>
                </c:pt>
                <c:pt idx="178">
                  <c:v>0.96990663195706694</c:v>
                </c:pt>
                <c:pt idx="179">
                  <c:v>0.99181450204996802</c:v>
                </c:pt>
                <c:pt idx="180">
                  <c:v>0.99812391475073603</c:v>
                </c:pt>
                <c:pt idx="181">
                  <c:v>0.94341074880698905</c:v>
                </c:pt>
                <c:pt idx="182">
                  <c:v>0.97800635124603996</c:v>
                </c:pt>
                <c:pt idx="183">
                  <c:v>0.97434249563055397</c:v>
                </c:pt>
                <c:pt idx="184">
                  <c:v>0.95103419571646897</c:v>
                </c:pt>
                <c:pt idx="185">
                  <c:v>0.99620671436803299</c:v>
                </c:pt>
                <c:pt idx="186">
                  <c:v>0.90835848867839597</c:v>
                </c:pt>
                <c:pt idx="187">
                  <c:v>1.01093752086274</c:v>
                </c:pt>
                <c:pt idx="188">
                  <c:v>0.996486253102011</c:v>
                </c:pt>
                <c:pt idx="189">
                  <c:v>0.99519113562679395</c:v>
                </c:pt>
                <c:pt idx="190">
                  <c:v>0.94292335748228295</c:v>
                </c:pt>
                <c:pt idx="191">
                  <c:v>0.99706638359980104</c:v>
                </c:pt>
                <c:pt idx="192">
                  <c:v>0.96897554884581705</c:v>
                </c:pt>
                <c:pt idx="193">
                  <c:v>0.99701752771784002</c:v>
                </c:pt>
                <c:pt idx="194">
                  <c:v>0.995221957931125</c:v>
                </c:pt>
                <c:pt idx="195">
                  <c:v>0.93443964255578604</c:v>
                </c:pt>
                <c:pt idx="196">
                  <c:v>0.96449390904472299</c:v>
                </c:pt>
                <c:pt idx="197">
                  <c:v>4.9070102270463298</c:v>
                </c:pt>
                <c:pt idx="198">
                  <c:v>0.998995136256556</c:v>
                </c:pt>
                <c:pt idx="199">
                  <c:v>1.0138167410501799</c:v>
                </c:pt>
                <c:pt idx="200">
                  <c:v>0.97927086413615805</c:v>
                </c:pt>
                <c:pt idx="201">
                  <c:v>2.20104560557199</c:v>
                </c:pt>
                <c:pt idx="202">
                  <c:v>1.0008058470497501</c:v>
                </c:pt>
                <c:pt idx="203">
                  <c:v>1.00118274030893</c:v>
                </c:pt>
                <c:pt idx="204">
                  <c:v>0.91438615195489303</c:v>
                </c:pt>
                <c:pt idx="205">
                  <c:v>1.0092491302523501</c:v>
                </c:pt>
                <c:pt idx="206">
                  <c:v>0.98437227939197103</c:v>
                </c:pt>
                <c:pt idx="207">
                  <c:v>0.98108247552139805</c:v>
                </c:pt>
                <c:pt idx="208">
                  <c:v>0.97137306174872995</c:v>
                </c:pt>
                <c:pt idx="209">
                  <c:v>1.0021214322042</c:v>
                </c:pt>
                <c:pt idx="210">
                  <c:v>0.98952468602973498</c:v>
                </c:pt>
                <c:pt idx="211">
                  <c:v>0.97635576867121299</c:v>
                </c:pt>
                <c:pt idx="212">
                  <c:v>0.91992442364295202</c:v>
                </c:pt>
                <c:pt idx="213">
                  <c:v>1.02706210114645</c:v>
                </c:pt>
                <c:pt idx="214">
                  <c:v>0.98600284459003196</c:v>
                </c:pt>
                <c:pt idx="215">
                  <c:v>1.0024875172168499</c:v>
                </c:pt>
                <c:pt idx="216">
                  <c:v>0.969085437592766</c:v>
                </c:pt>
                <c:pt idx="217">
                  <c:v>0.99193926514505404</c:v>
                </c:pt>
                <c:pt idx="218">
                  <c:v>0.99652381521401501</c:v>
                </c:pt>
                <c:pt idx="219">
                  <c:v>0.98218669863747599</c:v>
                </c:pt>
                <c:pt idx="220">
                  <c:v>0.99999999996464395</c:v>
                </c:pt>
                <c:pt idx="221">
                  <c:v>0.99661010173388298</c:v>
                </c:pt>
                <c:pt idx="222">
                  <c:v>2.1422271589783102</c:v>
                </c:pt>
                <c:pt idx="223">
                  <c:v>1.01916304979213</c:v>
                </c:pt>
                <c:pt idx="224">
                  <c:v>1.0008064624188999</c:v>
                </c:pt>
                <c:pt idx="225">
                  <c:v>0.98143424329478701</c:v>
                </c:pt>
                <c:pt idx="226">
                  <c:v>0.95842839120568102</c:v>
                </c:pt>
                <c:pt idx="227">
                  <c:v>0.991529810363593</c:v>
                </c:pt>
                <c:pt idx="228">
                  <c:v>0.98642216443721098</c:v>
                </c:pt>
                <c:pt idx="229">
                  <c:v>0.97307018957214797</c:v>
                </c:pt>
                <c:pt idx="230">
                  <c:v>0.98962086604498201</c:v>
                </c:pt>
                <c:pt idx="231">
                  <c:v>1.0091523765806101</c:v>
                </c:pt>
                <c:pt idx="232">
                  <c:v>0.94592937659280196</c:v>
                </c:pt>
                <c:pt idx="233">
                  <c:v>1.00458854386634</c:v>
                </c:pt>
                <c:pt idx="234">
                  <c:v>0.95002753471078205</c:v>
                </c:pt>
                <c:pt idx="235">
                  <c:v>4.4683142360914703</c:v>
                </c:pt>
                <c:pt idx="236">
                  <c:v>1.3071428825547999</c:v>
                </c:pt>
                <c:pt idx="237">
                  <c:v>0.99230540997046102</c:v>
                </c:pt>
                <c:pt idx="238">
                  <c:v>0.88218958339396603</c:v>
                </c:pt>
                <c:pt idx="239">
                  <c:v>0.99785750387803795</c:v>
                </c:pt>
                <c:pt idx="240">
                  <c:v>0.99733790203996397</c:v>
                </c:pt>
                <c:pt idx="241">
                  <c:v>0.99695942764129197</c:v>
                </c:pt>
                <c:pt idx="242">
                  <c:v>0.99647024208788304</c:v>
                </c:pt>
                <c:pt idx="243">
                  <c:v>1.6218249180573201</c:v>
                </c:pt>
                <c:pt idx="244">
                  <c:v>0.97242141530470205</c:v>
                </c:pt>
                <c:pt idx="245">
                  <c:v>1.00567001640849</c:v>
                </c:pt>
                <c:pt idx="246">
                  <c:v>0.99407988598666497</c:v>
                </c:pt>
                <c:pt idx="247">
                  <c:v>1.0861251550216999</c:v>
                </c:pt>
                <c:pt idx="248">
                  <c:v>1.00263476591905</c:v>
                </c:pt>
                <c:pt idx="249">
                  <c:v>0.96166216731755605</c:v>
                </c:pt>
                <c:pt idx="250">
                  <c:v>0.97204675956114495</c:v>
                </c:pt>
                <c:pt idx="251">
                  <c:v>0.96960176539422605</c:v>
                </c:pt>
                <c:pt idx="252">
                  <c:v>0.94999671025746901</c:v>
                </c:pt>
                <c:pt idx="253">
                  <c:v>1.00894817957299</c:v>
                </c:pt>
                <c:pt idx="254">
                  <c:v>0.95832151987206804</c:v>
                </c:pt>
                <c:pt idx="255">
                  <c:v>0.93286572506988097</c:v>
                </c:pt>
                <c:pt idx="256">
                  <c:v>1.0012288256158099</c:v>
                </c:pt>
                <c:pt idx="257">
                  <c:v>0.99587281638021696</c:v>
                </c:pt>
                <c:pt idx="258">
                  <c:v>1.00540872282881</c:v>
                </c:pt>
                <c:pt idx="259">
                  <c:v>0.98697375907392004</c:v>
                </c:pt>
                <c:pt idx="260">
                  <c:v>0.94906389345265096</c:v>
                </c:pt>
                <c:pt idx="261">
                  <c:v>1.0097790641964699</c:v>
                </c:pt>
                <c:pt idx="262">
                  <c:v>1.01680660650233</c:v>
                </c:pt>
                <c:pt idx="263">
                  <c:v>1.0032971072325401</c:v>
                </c:pt>
                <c:pt idx="264">
                  <c:v>0.97216279422454899</c:v>
                </c:pt>
                <c:pt idx="265">
                  <c:v>1.0013710758369401</c:v>
                </c:pt>
                <c:pt idx="266">
                  <c:v>0.952687665720376</c:v>
                </c:pt>
                <c:pt idx="267">
                  <c:v>1.0030803430694399</c:v>
                </c:pt>
                <c:pt idx="268">
                  <c:v>0.97747543040373597</c:v>
                </c:pt>
                <c:pt idx="269">
                  <c:v>1.0069600482511101</c:v>
                </c:pt>
                <c:pt idx="270">
                  <c:v>0.995626338859122</c:v>
                </c:pt>
                <c:pt idx="271">
                  <c:v>0.99529514180191703</c:v>
                </c:pt>
                <c:pt idx="273">
                  <c:v>0.99447013630488001</c:v>
                </c:pt>
                <c:pt idx="274">
                  <c:v>1.04946494427432</c:v>
                </c:pt>
                <c:pt idx="275">
                  <c:v>0.99556082586815298</c:v>
                </c:pt>
                <c:pt idx="276">
                  <c:v>0.99766336973509595</c:v>
                </c:pt>
                <c:pt idx="277">
                  <c:v>0.91885379304853598</c:v>
                </c:pt>
                <c:pt idx="278">
                  <c:v>0.99856968973765603</c:v>
                </c:pt>
                <c:pt idx="279">
                  <c:v>0.96885168191356696</c:v>
                </c:pt>
                <c:pt idx="280">
                  <c:v>1.8524355861141699</c:v>
                </c:pt>
                <c:pt idx="281">
                  <c:v>0.98684054876166805</c:v>
                </c:pt>
                <c:pt idx="282">
                  <c:v>0.98200293777412395</c:v>
                </c:pt>
                <c:pt idx="283">
                  <c:v>1.48813382956434</c:v>
                </c:pt>
                <c:pt idx="284">
                  <c:v>0.95316147119593697</c:v>
                </c:pt>
                <c:pt idx="285">
                  <c:v>0.966351323575662</c:v>
                </c:pt>
                <c:pt idx="286">
                  <c:v>0.93780384542365602</c:v>
                </c:pt>
                <c:pt idx="287">
                  <c:v>0.99957369583406896</c:v>
                </c:pt>
                <c:pt idx="288">
                  <c:v>0.96739560225478105</c:v>
                </c:pt>
                <c:pt idx="289">
                  <c:v>0.98891899724765797</c:v>
                </c:pt>
                <c:pt idx="290">
                  <c:v>0.97310955015469203</c:v>
                </c:pt>
                <c:pt idx="291">
                  <c:v>0.99335874627878096</c:v>
                </c:pt>
                <c:pt idx="292">
                  <c:v>0.96388847861174498</c:v>
                </c:pt>
                <c:pt idx="293">
                  <c:v>0.94960484225646402</c:v>
                </c:pt>
                <c:pt idx="294">
                  <c:v>0.96017502592942605</c:v>
                </c:pt>
                <c:pt idx="295">
                  <c:v>0.97562496722268399</c:v>
                </c:pt>
                <c:pt idx="296">
                  <c:v>1.01083530680058</c:v>
                </c:pt>
                <c:pt idx="298">
                  <c:v>1.0035678212844199</c:v>
                </c:pt>
                <c:pt idx="299">
                  <c:v>1.0024743775376399</c:v>
                </c:pt>
                <c:pt idx="300">
                  <c:v>0.97063396923388301</c:v>
                </c:pt>
                <c:pt idx="301">
                  <c:v>0.99308992795275097</c:v>
                </c:pt>
                <c:pt idx="302">
                  <c:v>0.97784778388731597</c:v>
                </c:pt>
                <c:pt idx="303">
                  <c:v>0.97918179995564603</c:v>
                </c:pt>
                <c:pt idx="304">
                  <c:v>1.19102725373471</c:v>
                </c:pt>
                <c:pt idx="305">
                  <c:v>1.0007476202111301</c:v>
                </c:pt>
                <c:pt idx="306">
                  <c:v>1.0130441306461799</c:v>
                </c:pt>
                <c:pt idx="307">
                  <c:v>0.99903346015033001</c:v>
                </c:pt>
                <c:pt idx="308">
                  <c:v>0.93870219213519002</c:v>
                </c:pt>
                <c:pt idx="309">
                  <c:v>1.1232331789831</c:v>
                </c:pt>
                <c:pt idx="310">
                  <c:v>1.12073047004892</c:v>
                </c:pt>
                <c:pt idx="311">
                  <c:v>0.91912929029438495</c:v>
                </c:pt>
                <c:pt idx="312">
                  <c:v>0.99757977943534604</c:v>
                </c:pt>
                <c:pt idx="313">
                  <c:v>0.99468715563988697</c:v>
                </c:pt>
                <c:pt idx="314">
                  <c:v>0.98837081285587003</c:v>
                </c:pt>
                <c:pt idx="315">
                  <c:v>0.95631414906898504</c:v>
                </c:pt>
                <c:pt idx="316">
                  <c:v>0.98800586832961301</c:v>
                </c:pt>
                <c:pt idx="317">
                  <c:v>0.98339593274895698</c:v>
                </c:pt>
                <c:pt idx="318">
                  <c:v>0.98725027769829998</c:v>
                </c:pt>
                <c:pt idx="319">
                  <c:v>0.99340199072597202</c:v>
                </c:pt>
                <c:pt idx="320">
                  <c:v>0.98690581116339404</c:v>
                </c:pt>
                <c:pt idx="321">
                  <c:v>0.99730444872870105</c:v>
                </c:pt>
                <c:pt idx="322">
                  <c:v>0.923124694453896</c:v>
                </c:pt>
                <c:pt idx="323">
                  <c:v>0.98261199986236603</c:v>
                </c:pt>
                <c:pt idx="324">
                  <c:v>0.98954439700542696</c:v>
                </c:pt>
                <c:pt idx="325">
                  <c:v>0.929932535047159</c:v>
                </c:pt>
                <c:pt idx="326">
                  <c:v>0.97764414314660697</c:v>
                </c:pt>
                <c:pt idx="327">
                  <c:v>1.0002909875363799</c:v>
                </c:pt>
                <c:pt idx="328">
                  <c:v>0.97144251280042504</c:v>
                </c:pt>
                <c:pt idx="329">
                  <c:v>1.3055426463373401</c:v>
                </c:pt>
                <c:pt idx="330">
                  <c:v>0.992460881748082</c:v>
                </c:pt>
                <c:pt idx="331">
                  <c:v>1.1828809921596299</c:v>
                </c:pt>
                <c:pt idx="333">
                  <c:v>0.97515102869704895</c:v>
                </c:pt>
                <c:pt idx="334">
                  <c:v>0.99654565695347797</c:v>
                </c:pt>
                <c:pt idx="335">
                  <c:v>1.16194901365124</c:v>
                </c:pt>
                <c:pt idx="336">
                  <c:v>0.99876323924743104</c:v>
                </c:pt>
                <c:pt idx="337">
                  <c:v>0.99660726385317999</c:v>
                </c:pt>
                <c:pt idx="338">
                  <c:v>0.93452303822292904</c:v>
                </c:pt>
                <c:pt idx="339">
                  <c:v>0.99699075641820001</c:v>
                </c:pt>
                <c:pt idx="340">
                  <c:v>0.972597269387936</c:v>
                </c:pt>
                <c:pt idx="341">
                  <c:v>0.94385666063768403</c:v>
                </c:pt>
                <c:pt idx="342">
                  <c:v>1.00031220631339</c:v>
                </c:pt>
                <c:pt idx="343">
                  <c:v>0.967652285410461</c:v>
                </c:pt>
                <c:pt idx="344">
                  <c:v>1.0050554588451499</c:v>
                </c:pt>
                <c:pt idx="345">
                  <c:v>0.96719012130165505</c:v>
                </c:pt>
                <c:pt idx="346">
                  <c:v>0.97608928324894895</c:v>
                </c:pt>
                <c:pt idx="347">
                  <c:v>0.98327652899595497</c:v>
                </c:pt>
                <c:pt idx="348">
                  <c:v>0.96617768900482304</c:v>
                </c:pt>
                <c:pt idx="349">
                  <c:v>1.02587751502519</c:v>
                </c:pt>
                <c:pt idx="350">
                  <c:v>1.0095780291846701</c:v>
                </c:pt>
                <c:pt idx="351">
                  <c:v>0.98436703021735295</c:v>
                </c:pt>
                <c:pt idx="352">
                  <c:v>0.95873913321247195</c:v>
                </c:pt>
                <c:pt idx="353">
                  <c:v>0.95873983622033798</c:v>
                </c:pt>
                <c:pt idx="354">
                  <c:v>0.99506863498453302</c:v>
                </c:pt>
                <c:pt idx="355">
                  <c:v>1.03798204399282</c:v>
                </c:pt>
                <c:pt idx="356">
                  <c:v>0.95196979794166203</c:v>
                </c:pt>
                <c:pt idx="357">
                  <c:v>0.95389824848793803</c:v>
                </c:pt>
                <c:pt idx="358">
                  <c:v>0.99833783032995005</c:v>
                </c:pt>
                <c:pt idx="359">
                  <c:v>0.98545464939071303</c:v>
                </c:pt>
                <c:pt idx="360">
                  <c:v>0.899177976707771</c:v>
                </c:pt>
                <c:pt idx="361">
                  <c:v>0.98045058558096798</c:v>
                </c:pt>
                <c:pt idx="362">
                  <c:v>0.934681901036436</c:v>
                </c:pt>
                <c:pt idx="363">
                  <c:v>1.0415764961171901</c:v>
                </c:pt>
                <c:pt idx="364">
                  <c:v>0.99369907192444396</c:v>
                </c:pt>
                <c:pt idx="365">
                  <c:v>0.99980586574418095</c:v>
                </c:pt>
                <c:pt idx="366">
                  <c:v>0.99774761138936996</c:v>
                </c:pt>
                <c:pt idx="367">
                  <c:v>1.1932771348184099</c:v>
                </c:pt>
                <c:pt idx="368">
                  <c:v>0.994392632755006</c:v>
                </c:pt>
                <c:pt idx="369">
                  <c:v>0.94581584584811196</c:v>
                </c:pt>
                <c:pt idx="370">
                  <c:v>1.1485891662454399</c:v>
                </c:pt>
                <c:pt idx="371">
                  <c:v>0.99928318045442499</c:v>
                </c:pt>
                <c:pt idx="372">
                  <c:v>0.87135115412713704</c:v>
                </c:pt>
                <c:pt idx="373">
                  <c:v>0.89787579427002195</c:v>
                </c:pt>
                <c:pt idx="374">
                  <c:v>0.96470034043387398</c:v>
                </c:pt>
                <c:pt idx="375">
                  <c:v>0.97605942579708205</c:v>
                </c:pt>
                <c:pt idx="376">
                  <c:v>0.99716702802469903</c:v>
                </c:pt>
                <c:pt idx="377">
                  <c:v>0.95912838743419204</c:v>
                </c:pt>
                <c:pt idx="378">
                  <c:v>0.99734595292096195</c:v>
                </c:pt>
                <c:pt idx="379">
                  <c:v>0.99959962198277896</c:v>
                </c:pt>
                <c:pt idx="380">
                  <c:v>2.04144526233793</c:v>
                </c:pt>
                <c:pt idx="381">
                  <c:v>0.98428908205304999</c:v>
                </c:pt>
                <c:pt idx="382">
                  <c:v>0.98238347404209503</c:v>
                </c:pt>
                <c:pt idx="383">
                  <c:v>0.98034611379283199</c:v>
                </c:pt>
                <c:pt idx="384">
                  <c:v>0.975765789517404</c:v>
                </c:pt>
                <c:pt idx="385">
                  <c:v>0.94859314401700101</c:v>
                </c:pt>
                <c:pt idx="386">
                  <c:v>0.92339124605577705</c:v>
                </c:pt>
                <c:pt idx="387">
                  <c:v>1.0018608339008399</c:v>
                </c:pt>
                <c:pt idx="388">
                  <c:v>1.1943070577992401</c:v>
                </c:pt>
                <c:pt idx="389">
                  <c:v>1.6800117815839199</c:v>
                </c:pt>
                <c:pt idx="390">
                  <c:v>1.00144685921792</c:v>
                </c:pt>
                <c:pt idx="391">
                  <c:v>1.0000894982319</c:v>
                </c:pt>
                <c:pt idx="392">
                  <c:v>0.97487545154492405</c:v>
                </c:pt>
                <c:pt idx="393">
                  <c:v>0.97578859291916997</c:v>
                </c:pt>
                <c:pt idx="394">
                  <c:v>0.98988579528856302</c:v>
                </c:pt>
                <c:pt idx="395">
                  <c:v>1.29123982326998</c:v>
                </c:pt>
                <c:pt idx="396">
                  <c:v>0.98962997705057798</c:v>
                </c:pt>
                <c:pt idx="397">
                  <c:v>0.99570446007597602</c:v>
                </c:pt>
                <c:pt idx="398">
                  <c:v>0.97121758970921002</c:v>
                </c:pt>
                <c:pt idx="399">
                  <c:v>0.90975556466095697</c:v>
                </c:pt>
                <c:pt idx="400">
                  <c:v>1.0948656982090199</c:v>
                </c:pt>
                <c:pt idx="401">
                  <c:v>0.993274804189204</c:v>
                </c:pt>
                <c:pt idx="402">
                  <c:v>0.99830871458638704</c:v>
                </c:pt>
                <c:pt idx="403">
                  <c:v>1.0082425664338299</c:v>
                </c:pt>
                <c:pt idx="404">
                  <c:v>0.96634694592531301</c:v>
                </c:pt>
                <c:pt idx="405">
                  <c:v>1.2900606758686901</c:v>
                </c:pt>
                <c:pt idx="406">
                  <c:v>1.01369771971649</c:v>
                </c:pt>
                <c:pt idx="407">
                  <c:v>0.90816690469421901</c:v>
                </c:pt>
                <c:pt idx="408">
                  <c:v>0.97395596927122396</c:v>
                </c:pt>
                <c:pt idx="409">
                  <c:v>0.98597267981748105</c:v>
                </c:pt>
                <c:pt idx="410">
                  <c:v>0.97885785866007102</c:v>
                </c:pt>
                <c:pt idx="411">
                  <c:v>0.95569089527168405</c:v>
                </c:pt>
                <c:pt idx="412">
                  <c:v>0.92185153069341497</c:v>
                </c:pt>
                <c:pt idx="413">
                  <c:v>0.97006320652196898</c:v>
                </c:pt>
                <c:pt idx="414">
                  <c:v>0.99032398665476995</c:v>
                </c:pt>
                <c:pt idx="415">
                  <c:v>0.99001205136437898</c:v>
                </c:pt>
                <c:pt idx="416">
                  <c:v>1.0080637005598401</c:v>
                </c:pt>
                <c:pt idx="417">
                  <c:v>0.98159842762751703</c:v>
                </c:pt>
                <c:pt idx="418">
                  <c:v>0.95297090838572696</c:v>
                </c:pt>
                <c:pt idx="419">
                  <c:v>0.97097735228001703</c:v>
                </c:pt>
                <c:pt idx="420">
                  <c:v>0.92895022086716905</c:v>
                </c:pt>
                <c:pt idx="421">
                  <c:v>0.979093128875268</c:v>
                </c:pt>
                <c:pt idx="422">
                  <c:v>0.99041214225136398</c:v>
                </c:pt>
                <c:pt idx="423">
                  <c:v>0.99999999996464395</c:v>
                </c:pt>
                <c:pt idx="424">
                  <c:v>0.99830914676687399</c:v>
                </c:pt>
                <c:pt idx="425">
                  <c:v>0.99358353383809705</c:v>
                </c:pt>
                <c:pt idx="426">
                  <c:v>0.96594236443273596</c:v>
                </c:pt>
                <c:pt idx="427">
                  <c:v>1.05583214989037</c:v>
                </c:pt>
                <c:pt idx="428">
                  <c:v>0.98506522026180199</c:v>
                </c:pt>
                <c:pt idx="429">
                  <c:v>0.99020667437777199</c:v>
                </c:pt>
                <c:pt idx="430">
                  <c:v>0.97851458207722297</c:v>
                </c:pt>
                <c:pt idx="431">
                  <c:v>0.97384854676894705</c:v>
                </c:pt>
                <c:pt idx="432">
                  <c:v>0.96680858347781096</c:v>
                </c:pt>
                <c:pt idx="433">
                  <c:v>1.1946890119604701</c:v>
                </c:pt>
                <c:pt idx="434">
                  <c:v>0.96379115815175698</c:v>
                </c:pt>
                <c:pt idx="435">
                  <c:v>1.0013886610032401</c:v>
                </c:pt>
                <c:pt idx="436">
                  <c:v>0.98800130686144705</c:v>
                </c:pt>
                <c:pt idx="437">
                  <c:v>0.97196467367146</c:v>
                </c:pt>
                <c:pt idx="438">
                  <c:v>0.94542944735858603</c:v>
                </c:pt>
                <c:pt idx="439">
                  <c:v>4.3152436923866997</c:v>
                </c:pt>
                <c:pt idx="440">
                  <c:v>0.95322666746881501</c:v>
                </c:pt>
                <c:pt idx="441">
                  <c:v>1.0112089260844399</c:v>
                </c:pt>
                <c:pt idx="442">
                  <c:v>0.97321242283201703</c:v>
                </c:pt>
                <c:pt idx="443">
                  <c:v>0.947238865948417</c:v>
                </c:pt>
                <c:pt idx="444">
                  <c:v>0.991196206248254</c:v>
                </c:pt>
                <c:pt idx="445">
                  <c:v>0.94653193315525097</c:v>
                </c:pt>
                <c:pt idx="447">
                  <c:v>0.96262538356916205</c:v>
                </c:pt>
                <c:pt idx="448">
                  <c:v>0.99984364486989596</c:v>
                </c:pt>
                <c:pt idx="449">
                  <c:v>1.05092109524952</c:v>
                </c:pt>
                <c:pt idx="450">
                  <c:v>0.98151690722405804</c:v>
                </c:pt>
                <c:pt idx="451">
                  <c:v>1.00571811315791</c:v>
                </c:pt>
                <c:pt idx="452">
                  <c:v>0.92660091348981499</c:v>
                </c:pt>
                <c:pt idx="453">
                  <c:v>1.0059080536596801</c:v>
                </c:pt>
                <c:pt idx="454">
                  <c:v>1.0039211006481701</c:v>
                </c:pt>
                <c:pt idx="455">
                  <c:v>0.96911267476030105</c:v>
                </c:pt>
                <c:pt idx="456">
                  <c:v>1.0021085284206199</c:v>
                </c:pt>
                <c:pt idx="457">
                  <c:v>1.0065210699429701</c:v>
                </c:pt>
                <c:pt idx="458">
                  <c:v>0.95162139935380896</c:v>
                </c:pt>
                <c:pt idx="459">
                  <c:v>0.99867398830395504</c:v>
                </c:pt>
                <c:pt idx="460">
                  <c:v>1.10763949762967</c:v>
                </c:pt>
                <c:pt idx="461">
                  <c:v>0.99822191917825898</c:v>
                </c:pt>
                <c:pt idx="462">
                  <c:v>0.999695281820842</c:v>
                </c:pt>
                <c:pt idx="463">
                  <c:v>0.98211369760623102</c:v>
                </c:pt>
                <c:pt idx="464">
                  <c:v>0.99558337182796897</c:v>
                </c:pt>
                <c:pt idx="465">
                  <c:v>0.96726682641741302</c:v>
                </c:pt>
                <c:pt idx="466">
                  <c:v>0.95799624259098504</c:v>
                </c:pt>
                <c:pt idx="467">
                  <c:v>1.0073579816320899</c:v>
                </c:pt>
                <c:pt idx="468">
                  <c:v>0.87355630668992501</c:v>
                </c:pt>
                <c:pt idx="469">
                  <c:v>0.93716612233249796</c:v>
                </c:pt>
                <c:pt idx="470">
                  <c:v>1.00107622729334</c:v>
                </c:pt>
                <c:pt idx="471">
                  <c:v>0.97484865322366199</c:v>
                </c:pt>
                <c:pt idx="472">
                  <c:v>0.94250805054201403</c:v>
                </c:pt>
                <c:pt idx="473">
                  <c:v>0.982677555026223</c:v>
                </c:pt>
                <c:pt idx="474">
                  <c:v>0.97478248109533505</c:v>
                </c:pt>
                <c:pt idx="475">
                  <c:v>1.12337668997325</c:v>
                </c:pt>
                <c:pt idx="476">
                  <c:v>0.997726698426041</c:v>
                </c:pt>
                <c:pt idx="477">
                  <c:v>1.1246056407464999</c:v>
                </c:pt>
                <c:pt idx="478">
                  <c:v>0.90950747700574797</c:v>
                </c:pt>
                <c:pt idx="479">
                  <c:v>1.00412775839512</c:v>
                </c:pt>
                <c:pt idx="480">
                  <c:v>1.001310353022</c:v>
                </c:pt>
                <c:pt idx="481">
                  <c:v>0.97429691987520495</c:v>
                </c:pt>
                <c:pt idx="482">
                  <c:v>1.0210453065463001</c:v>
                </c:pt>
                <c:pt idx="483">
                  <c:v>1.00090203874919</c:v>
                </c:pt>
                <c:pt idx="484">
                  <c:v>0.93868066689154195</c:v>
                </c:pt>
                <c:pt idx="485">
                  <c:v>0.97346112513166405</c:v>
                </c:pt>
                <c:pt idx="486">
                  <c:v>0.97507818340410102</c:v>
                </c:pt>
                <c:pt idx="487">
                  <c:v>1.00009308111827</c:v>
                </c:pt>
                <c:pt idx="488">
                  <c:v>1.00360958073869</c:v>
                </c:pt>
                <c:pt idx="489">
                  <c:v>1.0229010470358</c:v>
                </c:pt>
                <c:pt idx="490">
                  <c:v>2.04783983033566</c:v>
                </c:pt>
                <c:pt idx="491">
                  <c:v>0.97979559514457104</c:v>
                </c:pt>
                <c:pt idx="492">
                  <c:v>0.93724633376130595</c:v>
                </c:pt>
                <c:pt idx="493">
                  <c:v>0.97436410153182296</c:v>
                </c:pt>
                <c:pt idx="494">
                  <c:v>0.99999999996464395</c:v>
                </c:pt>
                <c:pt idx="495">
                  <c:v>0.99416740600402498</c:v>
                </c:pt>
                <c:pt idx="496">
                  <c:v>0.92433017001848095</c:v>
                </c:pt>
                <c:pt idx="497">
                  <c:v>1.06605892138534</c:v>
                </c:pt>
                <c:pt idx="498">
                  <c:v>0.99707775132240895</c:v>
                </c:pt>
                <c:pt idx="499">
                  <c:v>0.89156459381983699</c:v>
                </c:pt>
                <c:pt idx="500">
                  <c:v>0.97560639569299301</c:v>
                </c:pt>
                <c:pt idx="501">
                  <c:v>0.92076513818502104</c:v>
                </c:pt>
                <c:pt idx="502">
                  <c:v>0.89419494594160798</c:v>
                </c:pt>
                <c:pt idx="503">
                  <c:v>0.95765390445683996</c:v>
                </c:pt>
                <c:pt idx="504">
                  <c:v>0.99333290927731399</c:v>
                </c:pt>
                <c:pt idx="505">
                  <c:v>0.96227187978733397</c:v>
                </c:pt>
                <c:pt idx="506">
                  <c:v>1.0017908255986501</c:v>
                </c:pt>
                <c:pt idx="507">
                  <c:v>1.0089776293478301</c:v>
                </c:pt>
                <c:pt idx="508">
                  <c:v>0.92397867204121698</c:v>
                </c:pt>
                <c:pt idx="509">
                  <c:v>1.00158086552704</c:v>
                </c:pt>
                <c:pt idx="510">
                  <c:v>0.96703545013777903</c:v>
                </c:pt>
                <c:pt idx="511">
                  <c:v>0.97099961976140003</c:v>
                </c:pt>
                <c:pt idx="512">
                  <c:v>0.98438452810739197</c:v>
                </c:pt>
                <c:pt idx="513">
                  <c:v>0.94358608809746602</c:v>
                </c:pt>
                <c:pt idx="514">
                  <c:v>0.94211667037415403</c:v>
                </c:pt>
                <c:pt idx="515">
                  <c:v>0.99890690079282196</c:v>
                </c:pt>
                <c:pt idx="516">
                  <c:v>1.02243176555207</c:v>
                </c:pt>
                <c:pt idx="517">
                  <c:v>0.95206519348934904</c:v>
                </c:pt>
                <c:pt idx="518">
                  <c:v>0.97939742013225595</c:v>
                </c:pt>
                <c:pt idx="519">
                  <c:v>0.99846258861663595</c:v>
                </c:pt>
                <c:pt idx="520">
                  <c:v>0.96035092060216898</c:v>
                </c:pt>
                <c:pt idx="521">
                  <c:v>1.0020405856505401</c:v>
                </c:pt>
                <c:pt idx="522">
                  <c:v>0.93719384784321402</c:v>
                </c:pt>
                <c:pt idx="523">
                  <c:v>1.00436822383893</c:v>
                </c:pt>
                <c:pt idx="524">
                  <c:v>0.99802092258531006</c:v>
                </c:pt>
                <c:pt idx="525">
                  <c:v>1.0112592688972699</c:v>
                </c:pt>
                <c:pt idx="526">
                  <c:v>0.99722409244596</c:v>
                </c:pt>
                <c:pt idx="527">
                  <c:v>0.95416563822273603</c:v>
                </c:pt>
                <c:pt idx="528">
                  <c:v>0.99462015010774096</c:v>
                </c:pt>
                <c:pt idx="529">
                  <c:v>0.989647549259562</c:v>
                </c:pt>
                <c:pt idx="530">
                  <c:v>2.8188067034811102</c:v>
                </c:pt>
                <c:pt idx="531">
                  <c:v>1.00227894175586</c:v>
                </c:pt>
                <c:pt idx="532">
                  <c:v>0.95234243281970199</c:v>
                </c:pt>
                <c:pt idx="533">
                  <c:v>1.00079940963597</c:v>
                </c:pt>
                <c:pt idx="534">
                  <c:v>0.99630732990112203</c:v>
                </c:pt>
                <c:pt idx="535">
                  <c:v>0.94449799723065997</c:v>
                </c:pt>
                <c:pt idx="536">
                  <c:v>0.96802483493614999</c:v>
                </c:pt>
                <c:pt idx="537">
                  <c:v>0.99398607170235298</c:v>
                </c:pt>
                <c:pt idx="539">
                  <c:v>0.97467273367576501</c:v>
                </c:pt>
                <c:pt idx="540">
                  <c:v>1.1971643091042801</c:v>
                </c:pt>
                <c:pt idx="541">
                  <c:v>0.97207586626892095</c:v>
                </c:pt>
                <c:pt idx="542">
                  <c:v>1.01703844535046</c:v>
                </c:pt>
                <c:pt idx="543">
                  <c:v>0.99226605518990696</c:v>
                </c:pt>
                <c:pt idx="544">
                  <c:v>0.98161248387121802</c:v>
                </c:pt>
                <c:pt idx="545">
                  <c:v>0.92877832653580195</c:v>
                </c:pt>
                <c:pt idx="546">
                  <c:v>0.98624473289778203</c:v>
                </c:pt>
                <c:pt idx="547">
                  <c:v>0.98679467412461197</c:v>
                </c:pt>
                <c:pt idx="548">
                  <c:v>0.98036456329391497</c:v>
                </c:pt>
                <c:pt idx="549">
                  <c:v>1.1370820840593601</c:v>
                </c:pt>
                <c:pt idx="551">
                  <c:v>1.02486733335062</c:v>
                </c:pt>
                <c:pt idx="552">
                  <c:v>0.92732330680024799</c:v>
                </c:pt>
                <c:pt idx="553">
                  <c:v>0.94182671514525895</c:v>
                </c:pt>
                <c:pt idx="554">
                  <c:v>0.91164942819689099</c:v>
                </c:pt>
                <c:pt idx="555">
                  <c:v>0.98758819136999199</c:v>
                </c:pt>
                <c:pt idx="556">
                  <c:v>1.0042967683805799</c:v>
                </c:pt>
                <c:pt idx="557">
                  <c:v>0.99305918821396899</c:v>
                </c:pt>
                <c:pt idx="558">
                  <c:v>0.98948713449155201</c:v>
                </c:pt>
                <c:pt idx="559">
                  <c:v>1.3675199823517601</c:v>
                </c:pt>
                <c:pt idx="560">
                  <c:v>0.98932994439060096</c:v>
                </c:pt>
                <c:pt idx="561">
                  <c:v>0.98530830851628104</c:v>
                </c:pt>
                <c:pt idx="562">
                  <c:v>1.00638333995526</c:v>
                </c:pt>
                <c:pt idx="563">
                  <c:v>0.95202325800546805</c:v>
                </c:pt>
                <c:pt idx="564">
                  <c:v>0.97710267074572099</c:v>
                </c:pt>
                <c:pt idx="565">
                  <c:v>4.0824774236529802</c:v>
                </c:pt>
                <c:pt idx="566">
                  <c:v>0.97995942891341903</c:v>
                </c:pt>
                <c:pt idx="567">
                  <c:v>0.97702343982099005</c:v>
                </c:pt>
                <c:pt idx="568">
                  <c:v>1.0000708385931201</c:v>
                </c:pt>
                <c:pt idx="569">
                  <c:v>0.95696538818675903</c:v>
                </c:pt>
                <c:pt idx="570">
                  <c:v>0.955054431616018</c:v>
                </c:pt>
                <c:pt idx="571">
                  <c:v>0.97440794485758297</c:v>
                </c:pt>
                <c:pt idx="572">
                  <c:v>0.95581206620516201</c:v>
                </c:pt>
                <c:pt idx="573">
                  <c:v>1.23423007668396</c:v>
                </c:pt>
                <c:pt idx="574">
                  <c:v>0.976923127261074</c:v>
                </c:pt>
                <c:pt idx="575">
                  <c:v>0.96212575563133196</c:v>
                </c:pt>
                <c:pt idx="576">
                  <c:v>1.0214939768687401</c:v>
                </c:pt>
                <c:pt idx="577">
                  <c:v>0.94514833321077296</c:v>
                </c:pt>
                <c:pt idx="578">
                  <c:v>0.97119763642666002</c:v>
                </c:pt>
                <c:pt idx="579">
                  <c:v>0.97951077121584096</c:v>
                </c:pt>
                <c:pt idx="580">
                  <c:v>0.99268890855042302</c:v>
                </c:pt>
                <c:pt idx="581">
                  <c:v>0.92994353648319905</c:v>
                </c:pt>
                <c:pt idx="582">
                  <c:v>0.94148936641035397</c:v>
                </c:pt>
                <c:pt idx="583">
                  <c:v>0.97668380833427304</c:v>
                </c:pt>
                <c:pt idx="584">
                  <c:v>3.3606150089743099</c:v>
                </c:pt>
                <c:pt idx="585">
                  <c:v>1.00084400593378</c:v>
                </c:pt>
                <c:pt idx="586">
                  <c:v>0.99957095321268896</c:v>
                </c:pt>
                <c:pt idx="587">
                  <c:v>1.0003617938984599</c:v>
                </c:pt>
                <c:pt idx="588">
                  <c:v>2.1150447461505801</c:v>
                </c:pt>
                <c:pt idx="589">
                  <c:v>0.99903446038928601</c:v>
                </c:pt>
                <c:pt idx="590">
                  <c:v>0.95774288357090898</c:v>
                </c:pt>
                <c:pt idx="591">
                  <c:v>1.88249564000848</c:v>
                </c:pt>
                <c:pt idx="592">
                  <c:v>0.98577460180629894</c:v>
                </c:pt>
                <c:pt idx="593">
                  <c:v>0.98899638511740395</c:v>
                </c:pt>
                <c:pt idx="594">
                  <c:v>1.0061337550145</c:v>
                </c:pt>
                <c:pt idx="595">
                  <c:v>1.07902364545353</c:v>
                </c:pt>
                <c:pt idx="596">
                  <c:v>0.96747416002669995</c:v>
                </c:pt>
                <c:pt idx="597">
                  <c:v>0.94118630893811195</c:v>
                </c:pt>
                <c:pt idx="598">
                  <c:v>1.0094354399798</c:v>
                </c:pt>
                <c:pt idx="599">
                  <c:v>0.99190565177758805</c:v>
                </c:pt>
                <c:pt idx="600">
                  <c:v>0.99003335912743595</c:v>
                </c:pt>
                <c:pt idx="601">
                  <c:v>1.07127602289891</c:v>
                </c:pt>
                <c:pt idx="602">
                  <c:v>1.68822900481192</c:v>
                </c:pt>
                <c:pt idx="603">
                  <c:v>1.00006982843701</c:v>
                </c:pt>
                <c:pt idx="604">
                  <c:v>0.99628973587390501</c:v>
                </c:pt>
                <c:pt idx="605">
                  <c:v>0.93316493671002199</c:v>
                </c:pt>
                <c:pt idx="606">
                  <c:v>0.983270122703506</c:v>
                </c:pt>
                <c:pt idx="607">
                  <c:v>1.0089408702131</c:v>
                </c:pt>
                <c:pt idx="608">
                  <c:v>0.99342456359924203</c:v>
                </c:pt>
                <c:pt idx="609">
                  <c:v>1.00099128085345</c:v>
                </c:pt>
                <c:pt idx="610">
                  <c:v>0.98509873042100804</c:v>
                </c:pt>
                <c:pt idx="611">
                  <c:v>0.99496641046671397</c:v>
                </c:pt>
                <c:pt idx="612">
                  <c:v>4.6087018004972302</c:v>
                </c:pt>
                <c:pt idx="613">
                  <c:v>0.93990444737494905</c:v>
                </c:pt>
                <c:pt idx="614">
                  <c:v>0.91323729165261103</c:v>
                </c:pt>
                <c:pt idx="615">
                  <c:v>1.1729901602944299</c:v>
                </c:pt>
                <c:pt idx="616">
                  <c:v>0.99875180140949804</c:v>
                </c:pt>
                <c:pt idx="617">
                  <c:v>0.97832668699410796</c:v>
                </c:pt>
                <c:pt idx="618">
                  <c:v>0.98515383876317697</c:v>
                </c:pt>
                <c:pt idx="619">
                  <c:v>0.96112130698821496</c:v>
                </c:pt>
                <c:pt idx="620">
                  <c:v>0.99635324320414898</c:v>
                </c:pt>
                <c:pt idx="621">
                  <c:v>0.94815848513643897</c:v>
                </c:pt>
                <c:pt idx="622">
                  <c:v>1.0951894503495001</c:v>
                </c:pt>
                <c:pt idx="623">
                  <c:v>1.0541601843017001</c:v>
                </c:pt>
                <c:pt idx="624">
                  <c:v>0.990969818715978</c:v>
                </c:pt>
                <c:pt idx="625">
                  <c:v>0.95602008879550304</c:v>
                </c:pt>
                <c:pt idx="626">
                  <c:v>0.99853017162932001</c:v>
                </c:pt>
                <c:pt idx="627">
                  <c:v>1.0328398716027001</c:v>
                </c:pt>
                <c:pt idx="628">
                  <c:v>0.89252001089431798</c:v>
                </c:pt>
                <c:pt idx="629">
                  <c:v>1.0518708172</c:v>
                </c:pt>
                <c:pt idx="630">
                  <c:v>0.99030622985874495</c:v>
                </c:pt>
                <c:pt idx="631">
                  <c:v>1.00110193650779</c:v>
                </c:pt>
                <c:pt idx="632">
                  <c:v>1.0100128447355601</c:v>
                </c:pt>
                <c:pt idx="633">
                  <c:v>0.94502785636814501</c:v>
                </c:pt>
                <c:pt idx="634">
                  <c:v>1.03013223092948</c:v>
                </c:pt>
                <c:pt idx="635">
                  <c:v>1.0051710064645301</c:v>
                </c:pt>
                <c:pt idx="636">
                  <c:v>0.97758327317676197</c:v>
                </c:pt>
                <c:pt idx="637">
                  <c:v>0.99298658426559905</c:v>
                </c:pt>
                <c:pt idx="638">
                  <c:v>0.99875879101918696</c:v>
                </c:pt>
                <c:pt idx="639">
                  <c:v>0.99981110371845705</c:v>
                </c:pt>
                <c:pt idx="640">
                  <c:v>0.98722134754391599</c:v>
                </c:pt>
                <c:pt idx="641">
                  <c:v>0.97526668600722899</c:v>
                </c:pt>
                <c:pt idx="642">
                  <c:v>0.97435821057542904</c:v>
                </c:pt>
                <c:pt idx="643">
                  <c:v>1.08001742616017</c:v>
                </c:pt>
                <c:pt idx="644">
                  <c:v>0.93841449732579996</c:v>
                </c:pt>
                <c:pt idx="645">
                  <c:v>0.96976047170297597</c:v>
                </c:pt>
                <c:pt idx="646">
                  <c:v>1.0006290837066001</c:v>
                </c:pt>
                <c:pt idx="647">
                  <c:v>1.00082211993138</c:v>
                </c:pt>
                <c:pt idx="648">
                  <c:v>0.98929380125284205</c:v>
                </c:pt>
                <c:pt idx="649">
                  <c:v>1.03944767250631</c:v>
                </c:pt>
                <c:pt idx="650">
                  <c:v>0.986708764110518</c:v>
                </c:pt>
                <c:pt idx="651">
                  <c:v>1.0451670834823401</c:v>
                </c:pt>
                <c:pt idx="652">
                  <c:v>0.98368386875949698</c:v>
                </c:pt>
                <c:pt idx="653">
                  <c:v>0.99797007914053104</c:v>
                </c:pt>
                <c:pt idx="654">
                  <c:v>0.96806881007839896</c:v>
                </c:pt>
                <c:pt idx="655">
                  <c:v>0.97086700799584102</c:v>
                </c:pt>
                <c:pt idx="656">
                  <c:v>0.99422086539930499</c:v>
                </c:pt>
                <c:pt idx="657">
                  <c:v>1.4043560785296101</c:v>
                </c:pt>
                <c:pt idx="658">
                  <c:v>2.2209119635945398</c:v>
                </c:pt>
                <c:pt idx="659">
                  <c:v>0.94294658932402897</c:v>
                </c:pt>
                <c:pt idx="660">
                  <c:v>0.99177979880771405</c:v>
                </c:pt>
                <c:pt idx="661">
                  <c:v>0.96090519138978003</c:v>
                </c:pt>
                <c:pt idx="662">
                  <c:v>0.95780219154506296</c:v>
                </c:pt>
                <c:pt idx="663">
                  <c:v>1.01016006522644</c:v>
                </c:pt>
                <c:pt idx="664">
                  <c:v>0.96680413879032501</c:v>
                </c:pt>
                <c:pt idx="665">
                  <c:v>0.99844735428784204</c:v>
                </c:pt>
                <c:pt idx="666">
                  <c:v>0.96109893477635899</c:v>
                </c:pt>
                <c:pt idx="667">
                  <c:v>0.942851035428239</c:v>
                </c:pt>
                <c:pt idx="668">
                  <c:v>0.97697683821749604</c:v>
                </c:pt>
                <c:pt idx="669">
                  <c:v>0.94450221076035501</c:v>
                </c:pt>
                <c:pt idx="670">
                  <c:v>0.97089690969849796</c:v>
                </c:pt>
                <c:pt idx="671">
                  <c:v>0.99481690279335799</c:v>
                </c:pt>
                <c:pt idx="672">
                  <c:v>0.99362025964439105</c:v>
                </c:pt>
                <c:pt idx="673">
                  <c:v>0.899656269151627</c:v>
                </c:pt>
                <c:pt idx="674">
                  <c:v>0.99260374640022098</c:v>
                </c:pt>
                <c:pt idx="675">
                  <c:v>0.93607981987700695</c:v>
                </c:pt>
                <c:pt idx="676">
                  <c:v>0.99646743733201304</c:v>
                </c:pt>
                <c:pt idx="677">
                  <c:v>1.4483298409178</c:v>
                </c:pt>
                <c:pt idx="678">
                  <c:v>0.959251867026645</c:v>
                </c:pt>
                <c:pt idx="679">
                  <c:v>0.96663924039680105</c:v>
                </c:pt>
                <c:pt idx="680">
                  <c:v>0.972821638891462</c:v>
                </c:pt>
                <c:pt idx="681">
                  <c:v>1.1718758769134501</c:v>
                </c:pt>
                <c:pt idx="682">
                  <c:v>0.98886046624321999</c:v>
                </c:pt>
                <c:pt idx="683">
                  <c:v>0.98243481588387105</c:v>
                </c:pt>
                <c:pt idx="684">
                  <c:v>0.97166394831974301</c:v>
                </c:pt>
                <c:pt idx="685">
                  <c:v>1.73064394759776</c:v>
                </c:pt>
                <c:pt idx="686">
                  <c:v>0.97766252165411505</c:v>
                </c:pt>
                <c:pt idx="687">
                  <c:v>0.98974803524254296</c:v>
                </c:pt>
                <c:pt idx="688">
                  <c:v>0.98286892120298996</c:v>
                </c:pt>
                <c:pt idx="689">
                  <c:v>0.99622657330842701</c:v>
                </c:pt>
                <c:pt idx="690">
                  <c:v>0.94834003068959505</c:v>
                </c:pt>
                <c:pt idx="691">
                  <c:v>0.95514234930540198</c:v>
                </c:pt>
                <c:pt idx="692">
                  <c:v>1.2844632645120699</c:v>
                </c:pt>
                <c:pt idx="693">
                  <c:v>0.92021469258118105</c:v>
                </c:pt>
                <c:pt idx="694">
                  <c:v>0.998722004693537</c:v>
                </c:pt>
                <c:pt idx="695">
                  <c:v>1.00054473783486</c:v>
                </c:pt>
                <c:pt idx="696">
                  <c:v>0.98055454070055803</c:v>
                </c:pt>
                <c:pt idx="697">
                  <c:v>0.99612421727072398</c:v>
                </c:pt>
                <c:pt idx="698">
                  <c:v>1.09209603887725</c:v>
                </c:pt>
                <c:pt idx="699">
                  <c:v>0.99657574765030599</c:v>
                </c:pt>
                <c:pt idx="700">
                  <c:v>0.97280706023520702</c:v>
                </c:pt>
                <c:pt idx="701">
                  <c:v>0.97790125784135995</c:v>
                </c:pt>
                <c:pt idx="702">
                  <c:v>0.96861872005884198</c:v>
                </c:pt>
                <c:pt idx="703">
                  <c:v>0.99732709873325098</c:v>
                </c:pt>
                <c:pt idx="704">
                  <c:v>1.0917115238591899</c:v>
                </c:pt>
                <c:pt idx="705">
                  <c:v>0.98363274161721104</c:v>
                </c:pt>
                <c:pt idx="706">
                  <c:v>1.00399109237857</c:v>
                </c:pt>
                <c:pt idx="707">
                  <c:v>0.95724259145614699</c:v>
                </c:pt>
                <c:pt idx="708">
                  <c:v>0.91837217338279298</c:v>
                </c:pt>
                <c:pt idx="709">
                  <c:v>0.99922548667577504</c:v>
                </c:pt>
                <c:pt idx="710">
                  <c:v>0.97840391334116505</c:v>
                </c:pt>
                <c:pt idx="711">
                  <c:v>0.96215075429263797</c:v>
                </c:pt>
                <c:pt idx="712">
                  <c:v>1.00001613888556</c:v>
                </c:pt>
                <c:pt idx="713">
                  <c:v>0.99559275277009196</c:v>
                </c:pt>
                <c:pt idx="714">
                  <c:v>0.96380417156445297</c:v>
                </c:pt>
                <c:pt idx="715">
                  <c:v>0.99473521587417602</c:v>
                </c:pt>
                <c:pt idx="716">
                  <c:v>0.96611969644183904</c:v>
                </c:pt>
                <c:pt idx="717">
                  <c:v>1.1984832580742899</c:v>
                </c:pt>
                <c:pt idx="718">
                  <c:v>0.99117653899947999</c:v>
                </c:pt>
                <c:pt idx="719">
                  <c:v>0.98183449797685596</c:v>
                </c:pt>
                <c:pt idx="720">
                  <c:v>0.91819316245902405</c:v>
                </c:pt>
                <c:pt idx="721">
                  <c:v>1.0017549641365699</c:v>
                </c:pt>
                <c:pt idx="722">
                  <c:v>0.97276540262215305</c:v>
                </c:pt>
                <c:pt idx="723">
                  <c:v>1.0022111203059201</c:v>
                </c:pt>
                <c:pt idx="724">
                  <c:v>0.99183153926461298</c:v>
                </c:pt>
                <c:pt idx="725">
                  <c:v>1.0040547447765</c:v>
                </c:pt>
                <c:pt idx="726">
                  <c:v>0.99232944171821003</c:v>
                </c:pt>
                <c:pt idx="727">
                  <c:v>0.97676056407968703</c:v>
                </c:pt>
                <c:pt idx="728">
                  <c:v>0.98138608216099299</c:v>
                </c:pt>
                <c:pt idx="729">
                  <c:v>0.96022836464383698</c:v>
                </c:pt>
                <c:pt idx="730">
                  <c:v>1.00629841866601</c:v>
                </c:pt>
                <c:pt idx="731">
                  <c:v>0.90612131638335203</c:v>
                </c:pt>
                <c:pt idx="733">
                  <c:v>0.994577238743513</c:v>
                </c:pt>
                <c:pt idx="734">
                  <c:v>0.97162133571991904</c:v>
                </c:pt>
                <c:pt idx="735">
                  <c:v>0.89904033330549904</c:v>
                </c:pt>
                <c:pt idx="736">
                  <c:v>1.1879326843210201</c:v>
                </c:pt>
                <c:pt idx="737">
                  <c:v>0.92514522510814001</c:v>
                </c:pt>
                <c:pt idx="738">
                  <c:v>1.00233466783919</c:v>
                </c:pt>
                <c:pt idx="739">
                  <c:v>1.0046566257768199</c:v>
                </c:pt>
                <c:pt idx="740">
                  <c:v>1.0081689334655</c:v>
                </c:pt>
                <c:pt idx="741">
                  <c:v>0.95515806156949801</c:v>
                </c:pt>
                <c:pt idx="742">
                  <c:v>0.96581947873905805</c:v>
                </c:pt>
                <c:pt idx="743">
                  <c:v>0.99964385721973403</c:v>
                </c:pt>
                <c:pt idx="744">
                  <c:v>0.992519130516755</c:v>
                </c:pt>
                <c:pt idx="745">
                  <c:v>0.96568603421758703</c:v>
                </c:pt>
                <c:pt idx="746">
                  <c:v>0.97886499854667797</c:v>
                </c:pt>
                <c:pt idx="747">
                  <c:v>0.99488576723964095</c:v>
                </c:pt>
                <c:pt idx="748">
                  <c:v>0.99659720151019604</c:v>
                </c:pt>
                <c:pt idx="749">
                  <c:v>0.98297816479925804</c:v>
                </c:pt>
                <c:pt idx="750">
                  <c:v>2.0870322170196398</c:v>
                </c:pt>
                <c:pt idx="751">
                  <c:v>0.99177428128115397</c:v>
                </c:pt>
                <c:pt idx="752">
                  <c:v>0.99526235684914699</c:v>
                </c:pt>
                <c:pt idx="753">
                  <c:v>0.99576536199542998</c:v>
                </c:pt>
                <c:pt idx="754">
                  <c:v>0.90663746513262</c:v>
                </c:pt>
                <c:pt idx="755">
                  <c:v>1.0046478791429401</c:v>
                </c:pt>
                <c:pt idx="756">
                  <c:v>0.99728175137362096</c:v>
                </c:pt>
                <c:pt idx="757">
                  <c:v>0.985147473369686</c:v>
                </c:pt>
                <c:pt idx="758">
                  <c:v>0.95603348378562902</c:v>
                </c:pt>
                <c:pt idx="759">
                  <c:v>0.98120004327745003</c:v>
                </c:pt>
                <c:pt idx="760">
                  <c:v>0.92262769741467399</c:v>
                </c:pt>
                <c:pt idx="761">
                  <c:v>0.998861041608893</c:v>
                </c:pt>
                <c:pt idx="762">
                  <c:v>1.00665052837389</c:v>
                </c:pt>
                <c:pt idx="763">
                  <c:v>0.96325316341237899</c:v>
                </c:pt>
                <c:pt idx="764">
                  <c:v>0.99775418597211496</c:v>
                </c:pt>
                <c:pt idx="765">
                  <c:v>0.93738762192431802</c:v>
                </c:pt>
                <c:pt idx="766">
                  <c:v>1.0042995266861401</c:v>
                </c:pt>
                <c:pt idx="767">
                  <c:v>0.98342171504267795</c:v>
                </c:pt>
                <c:pt idx="768">
                  <c:v>0.98061087008513204</c:v>
                </c:pt>
                <c:pt idx="769">
                  <c:v>0.99554166244423803</c:v>
                </c:pt>
                <c:pt idx="770">
                  <c:v>0.99879170394052796</c:v>
                </c:pt>
                <c:pt idx="771">
                  <c:v>1.42713284226455</c:v>
                </c:pt>
                <c:pt idx="772">
                  <c:v>2.1867984352183099</c:v>
                </c:pt>
                <c:pt idx="773">
                  <c:v>0.98673532314657797</c:v>
                </c:pt>
                <c:pt idx="774">
                  <c:v>0.95814230502505005</c:v>
                </c:pt>
                <c:pt idx="775">
                  <c:v>0.95588273584374295</c:v>
                </c:pt>
                <c:pt idx="776">
                  <c:v>0.97753360729850103</c:v>
                </c:pt>
                <c:pt idx="777">
                  <c:v>1.0040350698190901</c:v>
                </c:pt>
                <c:pt idx="778">
                  <c:v>0.98175687049011495</c:v>
                </c:pt>
                <c:pt idx="779">
                  <c:v>1.0018768018375599</c:v>
                </c:pt>
                <c:pt idx="780">
                  <c:v>0.93779888082767904</c:v>
                </c:pt>
                <c:pt idx="781">
                  <c:v>0.93077683667297395</c:v>
                </c:pt>
                <c:pt idx="782">
                  <c:v>1.0006081495433601</c:v>
                </c:pt>
                <c:pt idx="783">
                  <c:v>0.998686524552027</c:v>
                </c:pt>
                <c:pt idx="784">
                  <c:v>1.11428393535031</c:v>
                </c:pt>
                <c:pt idx="785">
                  <c:v>0.93337385614499402</c:v>
                </c:pt>
                <c:pt idx="786">
                  <c:v>0.97489546395625004</c:v>
                </c:pt>
                <c:pt idx="787">
                  <c:v>0.99924315814185705</c:v>
                </c:pt>
                <c:pt idx="788">
                  <c:v>0.95583610309661404</c:v>
                </c:pt>
                <c:pt idx="789">
                  <c:v>1.01640191345437</c:v>
                </c:pt>
                <c:pt idx="790">
                  <c:v>0.95795227375282699</c:v>
                </c:pt>
                <c:pt idx="791">
                  <c:v>1.0035421721793201</c:v>
                </c:pt>
                <c:pt idx="792">
                  <c:v>0.98926024787798705</c:v>
                </c:pt>
                <c:pt idx="793">
                  <c:v>0.98783823775098301</c:v>
                </c:pt>
                <c:pt idx="794">
                  <c:v>2.3170409822446798</c:v>
                </c:pt>
                <c:pt idx="795">
                  <c:v>0.92305435993876805</c:v>
                </c:pt>
                <c:pt idx="796">
                  <c:v>0.95682255522036597</c:v>
                </c:pt>
                <c:pt idx="797">
                  <c:v>0.96541155295968595</c:v>
                </c:pt>
                <c:pt idx="798">
                  <c:v>1.0114337363222601</c:v>
                </c:pt>
                <c:pt idx="799">
                  <c:v>1.0013311724640499</c:v>
                </c:pt>
                <c:pt idx="800">
                  <c:v>0.99480190129259305</c:v>
                </c:pt>
                <c:pt idx="801">
                  <c:v>0.98760391041952</c:v>
                </c:pt>
                <c:pt idx="802">
                  <c:v>1.0000073043176201</c:v>
                </c:pt>
                <c:pt idx="803">
                  <c:v>1.00017269529537</c:v>
                </c:pt>
                <c:pt idx="804">
                  <c:v>0.99863633261722695</c:v>
                </c:pt>
                <c:pt idx="805">
                  <c:v>0.93045775761147698</c:v>
                </c:pt>
                <c:pt idx="807">
                  <c:v>0.98676571870721197</c:v>
                </c:pt>
                <c:pt idx="808">
                  <c:v>0.986289771453155</c:v>
                </c:pt>
                <c:pt idx="809">
                  <c:v>1.0383067325661901</c:v>
                </c:pt>
                <c:pt idx="810">
                  <c:v>1.0024678349929099</c:v>
                </c:pt>
                <c:pt idx="811">
                  <c:v>1.1619247602037299</c:v>
                </c:pt>
                <c:pt idx="812">
                  <c:v>1.02254745442406</c:v>
                </c:pt>
                <c:pt idx="813">
                  <c:v>0.98685412478050005</c:v>
                </c:pt>
                <c:pt idx="814">
                  <c:v>0.93526291942169004</c:v>
                </c:pt>
                <c:pt idx="815">
                  <c:v>3.3751427150443201</c:v>
                </c:pt>
                <c:pt idx="816">
                  <c:v>0.99676102583389803</c:v>
                </c:pt>
                <c:pt idx="817">
                  <c:v>0.94720821957479895</c:v>
                </c:pt>
                <c:pt idx="818">
                  <c:v>0.96000047550351697</c:v>
                </c:pt>
                <c:pt idx="819">
                  <c:v>0.960577212389362</c:v>
                </c:pt>
                <c:pt idx="820">
                  <c:v>1.0439862487649201</c:v>
                </c:pt>
                <c:pt idx="821">
                  <c:v>1.0109500242379801</c:v>
                </c:pt>
                <c:pt idx="822">
                  <c:v>0.91510319518973904</c:v>
                </c:pt>
                <c:pt idx="823">
                  <c:v>0.96116543377905095</c:v>
                </c:pt>
                <c:pt idx="824">
                  <c:v>0.91099900835832803</c:v>
                </c:pt>
                <c:pt idx="825">
                  <c:v>0.92149282067293303</c:v>
                </c:pt>
                <c:pt idx="826">
                  <c:v>1.0001501307648</c:v>
                </c:pt>
                <c:pt idx="827">
                  <c:v>1.0040827293607399</c:v>
                </c:pt>
                <c:pt idx="828">
                  <c:v>0.97314093907269805</c:v>
                </c:pt>
                <c:pt idx="829">
                  <c:v>0.97019159485831497</c:v>
                </c:pt>
                <c:pt idx="830">
                  <c:v>1.19625853200374</c:v>
                </c:pt>
                <c:pt idx="831">
                  <c:v>0.92758818361701001</c:v>
                </c:pt>
                <c:pt idx="832">
                  <c:v>1.00684185798001</c:v>
                </c:pt>
                <c:pt idx="833">
                  <c:v>0.99929215615266098</c:v>
                </c:pt>
                <c:pt idx="834">
                  <c:v>0.98271655851504403</c:v>
                </c:pt>
                <c:pt idx="835">
                  <c:v>0.97979936882419105</c:v>
                </c:pt>
                <c:pt idx="836">
                  <c:v>0.94493274018496298</c:v>
                </c:pt>
                <c:pt idx="837">
                  <c:v>1.0154405246201501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CF-4CE8-B75B-40FB4CDA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33168"/>
        <c:axId val="147952020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mc_vs_cyme!$E$1</c15:sqref>
                        </c15:formulaRef>
                      </c:ext>
                    </c:extLst>
                    <c:strCache>
                      <c:ptCount val="1"/>
                      <c:pt idx="0">
                        <c:v>VA_CYME_mean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shade val="9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shade val="9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shade val="9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mc_vs_cyme!$E$2:$E$839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DCF-4CE8-B75B-40FB4CDAC5D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mc_vs_cyme!$F$1</c15:sqref>
                        </c15:formulaRef>
                      </c:ext>
                    </c:extLst>
                    <c:strCache>
                      <c:ptCount val="1"/>
                      <c:pt idx="0">
                        <c:v>VB_CYME_mean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tint val="9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tint val="9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tint val="9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mc_vs_cyme!$F$2:$F$839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CDCF-4CE8-B75B-40FB4CDAC5D9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mc_vs_cyme!$G$1</c15:sqref>
                        </c15:formulaRef>
                      </c:ext>
                    </c:extLst>
                    <c:strCache>
                      <c:ptCount val="1"/>
                      <c:pt idx="0">
                        <c:v>VC_CYME_mean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5">
                        <a:tint val="7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tint val="7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tint val="7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mc_vs_cyme!$G$2:$G$839</c15:sqref>
                        </c15:formulaRef>
                      </c:ext>
                    </c:extLst>
                    <c:numCache>
                      <c:formatCode>0.00000</c:formatCode>
                      <c:ptCount val="838"/>
                      <c:pt idx="0">
                        <c:v>1.00550485121163</c:v>
                      </c:pt>
                      <c:pt idx="1">
                        <c:v>1.01173431192384</c:v>
                      </c:pt>
                      <c:pt idx="2">
                        <c:v>1.0030637799154301</c:v>
                      </c:pt>
                      <c:pt idx="3">
                        <c:v>0.96380272672634204</c:v>
                      </c:pt>
                      <c:pt idx="4">
                        <c:v>1.0048187928469201</c:v>
                      </c:pt>
                      <c:pt idx="5">
                        <c:v>1.0133519957661199</c:v>
                      </c:pt>
                      <c:pt idx="6">
                        <c:v>1.02953613117001</c:v>
                      </c:pt>
                      <c:pt idx="7">
                        <c:v>1.0023768709762499</c:v>
                      </c:pt>
                      <c:pt idx="8">
                        <c:v>1.0291015145251301</c:v>
                      </c:pt>
                      <c:pt idx="9">
                        <c:v>1.0064751399193499</c:v>
                      </c:pt>
                      <c:pt idx="10">
                        <c:v>1.0057643500657001</c:v>
                      </c:pt>
                      <c:pt idx="11">
                        <c:v>1.00438546061776</c:v>
                      </c:pt>
                      <c:pt idx="12">
                        <c:v>1.0062505415701399</c:v>
                      </c:pt>
                      <c:pt idx="13">
                        <c:v>1.0032469803108801</c:v>
                      </c:pt>
                      <c:pt idx="14">
                        <c:v>1.0028632208275801</c:v>
                      </c:pt>
                      <c:pt idx="15">
                        <c:v>1.0040396147982</c:v>
                      </c:pt>
                      <c:pt idx="16">
                        <c:v>1.0044870588349499</c:v>
                      </c:pt>
                      <c:pt idx="17">
                        <c:v>0.968754917387883</c:v>
                      </c:pt>
                      <c:pt idx="18">
                        <c:v>1.0027717972307599</c:v>
                      </c:pt>
                      <c:pt idx="19">
                        <c:v>0.96837708333333306</c:v>
                      </c:pt>
                      <c:pt idx="20">
                        <c:v>1.0150105330241099</c:v>
                      </c:pt>
                      <c:pt idx="21">
                        <c:v>1.00319344796163</c:v>
                      </c:pt>
                      <c:pt idx="22">
                        <c:v>0.95115516169154202</c:v>
                      </c:pt>
                      <c:pt idx="23">
                        <c:v>1.00390852723492</c:v>
                      </c:pt>
                      <c:pt idx="24">
                        <c:v>0.96858839817968201</c:v>
                      </c:pt>
                      <c:pt idx="25">
                        <c:v>1.0194179899879301</c:v>
                      </c:pt>
                      <c:pt idx="26">
                        <c:v>1.0073962866952699</c:v>
                      </c:pt>
                      <c:pt idx="27">
                        <c:v>1.0139650461131999</c:v>
                      </c:pt>
                      <c:pt idx="28">
                        <c:v>1.0112309605166001</c:v>
                      </c:pt>
                      <c:pt idx="29">
                        <c:v>0.84959768408550995</c:v>
                      </c:pt>
                      <c:pt idx="30">
                        <c:v>1.00341570058139</c:v>
                      </c:pt>
                      <c:pt idx="31">
                        <c:v>1.0066207055160099</c:v>
                      </c:pt>
                      <c:pt idx="32">
                        <c:v>1.0074386368217001</c:v>
                      </c:pt>
                      <c:pt idx="33">
                        <c:v>0.97560657248157201</c:v>
                      </c:pt>
                      <c:pt idx="34">
                        <c:v>1.0240222426666601</c:v>
                      </c:pt>
                      <c:pt idx="35">
                        <c:v>0.82262120020964302</c:v>
                      </c:pt>
                      <c:pt idx="36">
                        <c:v>1.00464689661016</c:v>
                      </c:pt>
                      <c:pt idx="37">
                        <c:v>1.0318071800872</c:v>
                      </c:pt>
                      <c:pt idx="38">
                        <c:v>1.0302490554980499</c:v>
                      </c:pt>
                      <c:pt idx="39">
                        <c:v>1.0038308070826301</c:v>
                      </c:pt>
                      <c:pt idx="40">
                        <c:v>0.97024267711171597</c:v>
                      </c:pt>
                      <c:pt idx="41">
                        <c:v>1.0060817857142801</c:v>
                      </c:pt>
                      <c:pt idx="42">
                        <c:v>1.0019319896860901</c:v>
                      </c:pt>
                      <c:pt idx="43">
                        <c:v>1.03885083951612</c:v>
                      </c:pt>
                      <c:pt idx="44">
                        <c:v>1.00438522868098</c:v>
                      </c:pt>
                      <c:pt idx="45">
                        <c:v>1.0257697391589999</c:v>
                      </c:pt>
                      <c:pt idx="46">
                        <c:v>1.0029066196660399</c:v>
                      </c:pt>
                      <c:pt idx="47">
                        <c:v>1.0558523633466099</c:v>
                      </c:pt>
                      <c:pt idx="48">
                        <c:v>1.0042058201342201</c:v>
                      </c:pt>
                      <c:pt idx="49">
                        <c:v>0.97776647286821705</c:v>
                      </c:pt>
                      <c:pt idx="50">
                        <c:v>1.01618894364089</c:v>
                      </c:pt>
                      <c:pt idx="51">
                        <c:v>1.00318020213675</c:v>
                      </c:pt>
                      <c:pt idx="52">
                        <c:v>1.0039096884135399</c:v>
                      </c:pt>
                      <c:pt idx="53">
                        <c:v>1.0113610299872899</c:v>
                      </c:pt>
                      <c:pt idx="54">
                        <c:v>1.0035606090908999</c:v>
                      </c:pt>
                      <c:pt idx="55">
                        <c:v>1.0090898825938499</c:v>
                      </c:pt>
                      <c:pt idx="56">
                        <c:v>0.95613817097415499</c:v>
                      </c:pt>
                      <c:pt idx="57">
                        <c:v>1.00459673488745</c:v>
                      </c:pt>
                      <c:pt idx="58">
                        <c:v>1.0221000857429701</c:v>
                      </c:pt>
                      <c:pt idx="59">
                        <c:v>1.0142612258575101</c:v>
                      </c:pt>
                      <c:pt idx="60">
                        <c:v>0.97040396341463397</c:v>
                      </c:pt>
                      <c:pt idx="61">
                        <c:v>1.0080434083980201</c:v>
                      </c:pt>
                      <c:pt idx="62">
                        <c:v>1.0349669347100801</c:v>
                      </c:pt>
                      <c:pt idx="63">
                        <c:v>1.01566668</c:v>
                      </c:pt>
                      <c:pt idx="64">
                        <c:v>1.0113138826666599</c:v>
                      </c:pt>
                      <c:pt idx="65">
                        <c:v>1.00291047664543</c:v>
                      </c:pt>
                      <c:pt idx="66">
                        <c:v>0.83666289251207704</c:v>
                      </c:pt>
                      <c:pt idx="67">
                        <c:v>0.97583040730337001</c:v>
                      </c:pt>
                      <c:pt idx="68">
                        <c:v>1.0046736734453701</c:v>
                      </c:pt>
                      <c:pt idx="69">
                        <c:v>0.78006589248434199</c:v>
                      </c:pt>
                      <c:pt idx="70">
                        <c:v>1.00550685039494</c:v>
                      </c:pt>
                      <c:pt idx="71">
                        <c:v>1.0309603438095201</c:v>
                      </c:pt>
                      <c:pt idx="72">
                        <c:v>1.0021150018</c:v>
                      </c:pt>
                      <c:pt idx="73">
                        <c:v>1.00564486807095</c:v>
                      </c:pt>
                      <c:pt idx="74">
                        <c:v>1.0065277833333299</c:v>
                      </c:pt>
                      <c:pt idx="75">
                        <c:v>0.80592323651452202</c:v>
                      </c:pt>
                      <c:pt idx="76">
                        <c:v>0.97871757740457999</c:v>
                      </c:pt>
                      <c:pt idx="77">
                        <c:v>0.92092643805309704</c:v>
                      </c:pt>
                      <c:pt idx="78">
                        <c:v>1.00336366128093</c:v>
                      </c:pt>
                      <c:pt idx="79">
                        <c:v>1.0082185862294999</c:v>
                      </c:pt>
                      <c:pt idx="80">
                        <c:v>0.96073750855578299</c:v>
                      </c:pt>
                      <c:pt idx="81">
                        <c:v>1.0156585457264899</c:v>
                      </c:pt>
                      <c:pt idx="82">
                        <c:v>1.0043703544102001</c:v>
                      </c:pt>
                      <c:pt idx="83">
                        <c:v>1.0058928621580501</c:v>
                      </c:pt>
                      <c:pt idx="84">
                        <c:v>1.0022268692307601</c:v>
                      </c:pt>
                      <c:pt idx="85">
                        <c:v>1.0187800220601599</c:v>
                      </c:pt>
                      <c:pt idx="86">
                        <c:v>1.0032413820689601</c:v>
                      </c:pt>
                      <c:pt idx="87">
                        <c:v>1.0053828579842901</c:v>
                      </c:pt>
                      <c:pt idx="88">
                        <c:v>1.00524975346385</c:v>
                      </c:pt>
                      <c:pt idx="89">
                        <c:v>1.0076422829268199</c:v>
                      </c:pt>
                      <c:pt idx="90">
                        <c:v>1.0085049091989899</c:v>
                      </c:pt>
                      <c:pt idx="91">
                        <c:v>1.0049479208776499</c:v>
                      </c:pt>
                      <c:pt idx="92">
                        <c:v>0.96465800951625702</c:v>
                      </c:pt>
                      <c:pt idx="93">
                        <c:v>1.0197500168085101</c:v>
                      </c:pt>
                      <c:pt idx="94">
                        <c:v>1.03909123429672</c:v>
                      </c:pt>
                      <c:pt idx="95">
                        <c:v>1.0013181100961499</c:v>
                      </c:pt>
                      <c:pt idx="96">
                        <c:v>1.00274854035087</c:v>
                      </c:pt>
                      <c:pt idx="97">
                        <c:v>1.0027893198813</c:v>
                      </c:pt>
                      <c:pt idx="98">
                        <c:v>1.04872002454268</c:v>
                      </c:pt>
                      <c:pt idx="99">
                        <c:v>1.0055614347432</c:v>
                      </c:pt>
                      <c:pt idx="100">
                        <c:v>1.0050810854054</c:v>
                      </c:pt>
                      <c:pt idx="101">
                        <c:v>1.00467125779816</c:v>
                      </c:pt>
                      <c:pt idx="102">
                        <c:v>0.96587016574585605</c:v>
                      </c:pt>
                      <c:pt idx="103">
                        <c:v>1.00386831604938</c:v>
                      </c:pt>
                      <c:pt idx="104">
                        <c:v>0.86297817281728095</c:v>
                      </c:pt>
                      <c:pt idx="105">
                        <c:v>1.01575354831223</c:v>
                      </c:pt>
                      <c:pt idx="106">
                        <c:v>0.83274239864864796</c:v>
                      </c:pt>
                      <c:pt idx="107">
                        <c:v>1.0037881436960201</c:v>
                      </c:pt>
                      <c:pt idx="108">
                        <c:v>0.96308266932270903</c:v>
                      </c:pt>
                      <c:pt idx="109">
                        <c:v>0.94852083333333304</c:v>
                      </c:pt>
                      <c:pt idx="110">
                        <c:v>1.00605415867507</c:v>
                      </c:pt>
                      <c:pt idx="111">
                        <c:v>1.00577961332378</c:v>
                      </c:pt>
                      <c:pt idx="112">
                        <c:v>0.934838195077484</c:v>
                      </c:pt>
                      <c:pt idx="113">
                        <c:v>0.93450921052631497</c:v>
                      </c:pt>
                      <c:pt idx="114">
                        <c:v>0.97018581081081001</c:v>
                      </c:pt>
                      <c:pt idx="115">
                        <c:v>1.02223841747042</c:v>
                      </c:pt>
                      <c:pt idx="116">
                        <c:v>1.0121051557507901</c:v>
                      </c:pt>
                      <c:pt idx="117">
                        <c:v>1.0054718183823499</c:v>
                      </c:pt>
                      <c:pt idx="118">
                        <c:v>1.01967176241534</c:v>
                      </c:pt>
                      <c:pt idx="119">
                        <c:v>1.0011691552238799</c:v>
                      </c:pt>
                      <c:pt idx="120">
                        <c:v>1.0048584011894599</c:v>
                      </c:pt>
                      <c:pt idx="121">
                        <c:v>1.0049296018965499</c:v>
                      </c:pt>
                      <c:pt idx="122">
                        <c:v>1.0186364958174901</c:v>
                      </c:pt>
                      <c:pt idx="123">
                        <c:v>1.0331099938144299</c:v>
                      </c:pt>
                      <c:pt idx="124">
                        <c:v>0.98287686567164101</c:v>
                      </c:pt>
                      <c:pt idx="125">
                        <c:v>1.0003802592233</c:v>
                      </c:pt>
                      <c:pt idx="126">
                        <c:v>1.00333807102272</c:v>
                      </c:pt>
                      <c:pt idx="127">
                        <c:v>1.0071646402439001</c:v>
                      </c:pt>
                      <c:pt idx="128">
                        <c:v>1.0065657797438801</c:v>
                      </c:pt>
                      <c:pt idx="129">
                        <c:v>1.0061248337448501</c:v>
                      </c:pt>
                      <c:pt idx="130">
                        <c:v>1.00689043796296</c:v>
                      </c:pt>
                      <c:pt idx="131">
                        <c:v>0.97113844524793302</c:v>
                      </c:pt>
                      <c:pt idx="132">
                        <c:v>1.0156447991620099</c:v>
                      </c:pt>
                      <c:pt idx="133">
                        <c:v>0.96472204871955003</c:v>
                      </c:pt>
                      <c:pt idx="134">
                        <c:v>1.0335040445783099</c:v>
                      </c:pt>
                      <c:pt idx="135">
                        <c:v>1.00488473582766</c:v>
                      </c:pt>
                      <c:pt idx="136">
                        <c:v>0.97557227592267104</c:v>
                      </c:pt>
                      <c:pt idx="137">
                        <c:v>1.00585249540229</c:v>
                      </c:pt>
                      <c:pt idx="138">
                        <c:v>1.0031987323048901</c:v>
                      </c:pt>
                      <c:pt idx="139">
                        <c:v>1.0046866136752099</c:v>
                      </c:pt>
                      <c:pt idx="140">
                        <c:v>0.97444877505567895</c:v>
                      </c:pt>
                      <c:pt idx="141">
                        <c:v>1.01958335</c:v>
                      </c:pt>
                      <c:pt idx="142">
                        <c:v>1.01819116872037</c:v>
                      </c:pt>
                      <c:pt idx="143">
                        <c:v>1.0358509023648601</c:v>
                      </c:pt>
                      <c:pt idx="144">
                        <c:v>0.97437623031496001</c:v>
                      </c:pt>
                      <c:pt idx="145">
                        <c:v>0.96213850635593201</c:v>
                      </c:pt>
                      <c:pt idx="146">
                        <c:v>1.0035094056415901</c:v>
                      </c:pt>
                      <c:pt idx="147">
                        <c:v>1.0040751479768699</c:v>
                      </c:pt>
                      <c:pt idx="148">
                        <c:v>1.01908631065989</c:v>
                      </c:pt>
                      <c:pt idx="149">
                        <c:v>1.00245695166051</c:v>
                      </c:pt>
                      <c:pt idx="150">
                        <c:v>1.00555683157894</c:v>
                      </c:pt>
                      <c:pt idx="151">
                        <c:v>0.97634324009323903</c:v>
                      </c:pt>
                      <c:pt idx="152">
                        <c:v>0.95969944082013003</c:v>
                      </c:pt>
                      <c:pt idx="153">
                        <c:v>1.00328153432432</c:v>
                      </c:pt>
                      <c:pt idx="154">
                        <c:v>1.00548967223719</c:v>
                      </c:pt>
                      <c:pt idx="155">
                        <c:v>0.94611569706498899</c:v>
                      </c:pt>
                      <c:pt idx="156">
                        <c:v>1.00358825357142</c:v>
                      </c:pt>
                      <c:pt idx="157">
                        <c:v>1.00495578653061</c:v>
                      </c:pt>
                      <c:pt idx="158">
                        <c:v>0.95595602123893797</c:v>
                      </c:pt>
                      <c:pt idx="159">
                        <c:v>1.0056599277456599</c:v>
                      </c:pt>
                      <c:pt idx="160">
                        <c:v>1.02713797565543</c:v>
                      </c:pt>
                      <c:pt idx="161">
                        <c:v>1.0055687251184799</c:v>
                      </c:pt>
                      <c:pt idx="162">
                        <c:v>1</c:v>
                      </c:pt>
                      <c:pt idx="163">
                        <c:v>0.96818895348837197</c:v>
                      </c:pt>
                      <c:pt idx="164">
                        <c:v>1.0391143381015999</c:v>
                      </c:pt>
                      <c:pt idx="165">
                        <c:v>1.00411288082851</c:v>
                      </c:pt>
                      <c:pt idx="166">
                        <c:v>1.0050140944444399</c:v>
                      </c:pt>
                      <c:pt idx="167">
                        <c:v>1.00428288795562</c:v>
                      </c:pt>
                      <c:pt idx="168">
                        <c:v>1.0342781371470999</c:v>
                      </c:pt>
                      <c:pt idx="169">
                        <c:v>1.01403736058823</c:v>
                      </c:pt>
                      <c:pt idx="170">
                        <c:v>1.00643248722627</c:v>
                      </c:pt>
                      <c:pt idx="171">
                        <c:v>1.0023258135391899</c:v>
                      </c:pt>
                      <c:pt idx="172">
                        <c:v>1.00280597253731</c:v>
                      </c:pt>
                      <c:pt idx="173">
                        <c:v>0.97617440604751604</c:v>
                      </c:pt>
                      <c:pt idx="174">
                        <c:v>1.00534091363636</c:v>
                      </c:pt>
                      <c:pt idx="175">
                        <c:v>0.97242187499999899</c:v>
                      </c:pt>
                      <c:pt idx="176">
                        <c:v>1.0055839523668599</c:v>
                      </c:pt>
                      <c:pt idx="177">
                        <c:v>0.96431522503516098</c:v>
                      </c:pt>
                      <c:pt idx="178">
                        <c:v>1.00488810315955</c:v>
                      </c:pt>
                      <c:pt idx="179">
                        <c:v>1.0050110926305</c:v>
                      </c:pt>
                      <c:pt idx="180">
                        <c:v>1.0042001823056299</c:v>
                      </c:pt>
                      <c:pt idx="181">
                        <c:v>1.0038956126344001</c:v>
                      </c:pt>
                      <c:pt idx="182">
                        <c:v>0.96641814159292005</c:v>
                      </c:pt>
                      <c:pt idx="183">
                        <c:v>0.96049945414847104</c:v>
                      </c:pt>
                      <c:pt idx="184">
                        <c:v>1.00493994414414</c:v>
                      </c:pt>
                      <c:pt idx="185">
                        <c:v>1.00728682790697</c:v>
                      </c:pt>
                      <c:pt idx="186">
                        <c:v>1.0163867487985201</c:v>
                      </c:pt>
                      <c:pt idx="187">
                        <c:v>1.00540230344827</c:v>
                      </c:pt>
                      <c:pt idx="188">
                        <c:v>1.0061380649253699</c:v>
                      </c:pt>
                      <c:pt idx="189">
                        <c:v>1.0024723166112901</c:v>
                      </c:pt>
                      <c:pt idx="190">
                        <c:v>1.0123874005940501</c:v>
                      </c:pt>
                      <c:pt idx="191">
                        <c:v>0.981928327645051</c:v>
                      </c:pt>
                      <c:pt idx="192">
                        <c:v>0.97504836309523801</c:v>
                      </c:pt>
                      <c:pt idx="193">
                        <c:v>1.0059692564171101</c:v>
                      </c:pt>
                      <c:pt idx="194">
                        <c:v>1.0137101845808301</c:v>
                      </c:pt>
                      <c:pt idx="195">
                        <c:v>1.0051044320802001</c:v>
                      </c:pt>
                      <c:pt idx="196">
                        <c:v>1.0067953154371501</c:v>
                      </c:pt>
                      <c:pt idx="197">
                        <c:v>1.03031695346756</c:v>
                      </c:pt>
                      <c:pt idx="198">
                        <c:v>0.94103529411764697</c:v>
                      </c:pt>
                      <c:pt idx="199">
                        <c:v>1.0031741464544099</c:v>
                      </c:pt>
                      <c:pt idx="200">
                        <c:v>1.0094540310344799</c:v>
                      </c:pt>
                      <c:pt idx="201">
                        <c:v>1.0233291585570401</c:v>
                      </c:pt>
                      <c:pt idx="202">
                        <c:v>1.0029755620141301</c:v>
                      </c:pt>
                      <c:pt idx="203">
                        <c:v>1.0016809742489201</c:v>
                      </c:pt>
                      <c:pt idx="204">
                        <c:v>1.4269737638461499</c:v>
                      </c:pt>
                      <c:pt idx="205">
                        <c:v>1.0015666679999999</c:v>
                      </c:pt>
                      <c:pt idx="206">
                        <c:v>1.00559524285714</c:v>
                      </c:pt>
                      <c:pt idx="207">
                        <c:v>1.01348995601458</c:v>
                      </c:pt>
                      <c:pt idx="208">
                        <c:v>1.0085302563701</c:v>
                      </c:pt>
                      <c:pt idx="209">
                        <c:v>1.0017695798192701</c:v>
                      </c:pt>
                      <c:pt idx="210">
                        <c:v>1.02369538085277</c:v>
                      </c:pt>
                      <c:pt idx="211">
                        <c:v>1.0083178764948399</c:v>
                      </c:pt>
                      <c:pt idx="212">
                        <c:v>1.0064787022556301</c:v>
                      </c:pt>
                      <c:pt idx="213">
                        <c:v>1.0034612432558101</c:v>
                      </c:pt>
                      <c:pt idx="214">
                        <c:v>1.0095528536585301</c:v>
                      </c:pt>
                      <c:pt idx="215">
                        <c:v>1.0018778554794501</c:v>
                      </c:pt>
                      <c:pt idx="216">
                        <c:v>0.97651411290322498</c:v>
                      </c:pt>
                      <c:pt idx="217">
                        <c:v>1.00756520611246</c:v>
                      </c:pt>
                      <c:pt idx="218">
                        <c:v>0.97008474576271098</c:v>
                      </c:pt>
                      <c:pt idx="219">
                        <c:v>1.00616798425196</c:v>
                      </c:pt>
                      <c:pt idx="220">
                        <c:v>0.88968749999999996</c:v>
                      </c:pt>
                      <c:pt idx="221">
                        <c:v>1.00317322800925</c:v>
                      </c:pt>
                      <c:pt idx="222">
                        <c:v>0.97245466706301997</c:v>
                      </c:pt>
                      <c:pt idx="223">
                        <c:v>0.97975276898734098</c:v>
                      </c:pt>
                      <c:pt idx="224">
                        <c:v>1.00144091538461</c:v>
                      </c:pt>
                      <c:pt idx="225">
                        <c:v>1.0014122608172999</c:v>
                      </c:pt>
                      <c:pt idx="226">
                        <c:v>0.96994979627473799</c:v>
                      </c:pt>
                      <c:pt idx="227">
                        <c:v>1.0026848141128999</c:v>
                      </c:pt>
                      <c:pt idx="228">
                        <c:v>0.97652849006024001</c:v>
                      </c:pt>
                      <c:pt idx="229">
                        <c:v>1.00813497386231</c:v>
                      </c:pt>
                      <c:pt idx="230">
                        <c:v>0.97286977958236598</c:v>
                      </c:pt>
                      <c:pt idx="231">
                        <c:v>1.0074435514988</c:v>
                      </c:pt>
                      <c:pt idx="232">
                        <c:v>0.97326357719928103</c:v>
                      </c:pt>
                      <c:pt idx="233">
                        <c:v>1.00486327095343</c:v>
                      </c:pt>
                      <c:pt idx="234">
                        <c:v>1.00726992111368</c:v>
                      </c:pt>
                      <c:pt idx="235">
                        <c:v>1.0112934656441701</c:v>
                      </c:pt>
                      <c:pt idx="236">
                        <c:v>1.0057519856536501</c:v>
                      </c:pt>
                      <c:pt idx="237">
                        <c:v>1.0507972218916</c:v>
                      </c:pt>
                      <c:pt idx="238">
                        <c:v>1.0058124869715199</c:v>
                      </c:pt>
                      <c:pt idx="239">
                        <c:v>1.00555057025948</c:v>
                      </c:pt>
                      <c:pt idx="240">
                        <c:v>0.97093562874251504</c:v>
                      </c:pt>
                      <c:pt idx="241">
                        <c:v>1.0150482584210501</c:v>
                      </c:pt>
                      <c:pt idx="242">
                        <c:v>1.0031084682539599</c:v>
                      </c:pt>
                      <c:pt idx="243">
                        <c:v>1.0155644170757101</c:v>
                      </c:pt>
                      <c:pt idx="244">
                        <c:v>0.96009172354948802</c:v>
                      </c:pt>
                      <c:pt idx="245">
                        <c:v>1.00608522175141</c:v>
                      </c:pt>
                      <c:pt idx="246">
                        <c:v>1.006119796875</c:v>
                      </c:pt>
                      <c:pt idx="247">
                        <c:v>1.02818319821002</c:v>
                      </c:pt>
                      <c:pt idx="248">
                        <c:v>0.97935036945812803</c:v>
                      </c:pt>
                      <c:pt idx="249">
                        <c:v>1.00925758363636</c:v>
                      </c:pt>
                      <c:pt idx="250">
                        <c:v>0.97048964968152795</c:v>
                      </c:pt>
                      <c:pt idx="251">
                        <c:v>0.96868162296564198</c:v>
                      </c:pt>
                      <c:pt idx="252">
                        <c:v>1.0060075239097701</c:v>
                      </c:pt>
                      <c:pt idx="253">
                        <c:v>1.0042805136612001</c:v>
                      </c:pt>
                      <c:pt idx="254">
                        <c:v>0.96198107049608295</c:v>
                      </c:pt>
                      <c:pt idx="255">
                        <c:v>1.00969594652241</c:v>
                      </c:pt>
                      <c:pt idx="256">
                        <c:v>1.00229392819956</c:v>
                      </c:pt>
                      <c:pt idx="257">
                        <c:v>1.00270250229999</c:v>
                      </c:pt>
                      <c:pt idx="258">
                        <c:v>1.00658632847533</c:v>
                      </c:pt>
                      <c:pt idx="259">
                        <c:v>1.0366270724783799</c:v>
                      </c:pt>
                      <c:pt idx="260">
                        <c:v>1.00635823051948</c:v>
                      </c:pt>
                      <c:pt idx="261">
                        <c:v>1.00498616660516</c:v>
                      </c:pt>
                      <c:pt idx="262">
                        <c:v>1.03001948768577</c:v>
                      </c:pt>
                      <c:pt idx="263">
                        <c:v>1.0024844548507399</c:v>
                      </c:pt>
                      <c:pt idx="264">
                        <c:v>1.0147686707093799</c:v>
                      </c:pt>
                      <c:pt idx="265">
                        <c:v>1.00321289335937</c:v>
                      </c:pt>
                      <c:pt idx="266">
                        <c:v>1.00806932983479</c:v>
                      </c:pt>
                      <c:pt idx="267">
                        <c:v>1.0315067918819101</c:v>
                      </c:pt>
                      <c:pt idx="268">
                        <c:v>0.97099937603993303</c:v>
                      </c:pt>
                      <c:pt idx="269">
                        <c:v>1.00404918890977</c:v>
                      </c:pt>
                      <c:pt idx="270">
                        <c:v>1.00513465884146</c:v>
                      </c:pt>
                      <c:pt idx="271">
                        <c:v>1.00261111333333</c:v>
                      </c:pt>
                      <c:pt idx="272">
                        <c:v>1.02871658264642</c:v>
                      </c:pt>
                      <c:pt idx="273">
                        <c:v>1.00715736649746</c:v>
                      </c:pt>
                      <c:pt idx="274">
                        <c:v>1.0391127513774101</c:v>
                      </c:pt>
                      <c:pt idx="275">
                        <c:v>1.00311553295454</c:v>
                      </c:pt>
                      <c:pt idx="276">
                        <c:v>1.0115478625407099</c:v>
                      </c:pt>
                      <c:pt idx="277">
                        <c:v>1.0103322976123501</c:v>
                      </c:pt>
                      <c:pt idx="278">
                        <c:v>1.0041721049999901</c:v>
                      </c:pt>
                      <c:pt idx="279">
                        <c:v>0.97911242603550297</c:v>
                      </c:pt>
                      <c:pt idx="280">
                        <c:v>1.0037695650234699</c:v>
                      </c:pt>
                      <c:pt idx="281">
                        <c:v>0.95971360895779501</c:v>
                      </c:pt>
                      <c:pt idx="282">
                        <c:v>1.0064463895261799</c:v>
                      </c:pt>
                      <c:pt idx="283">
                        <c:v>0.97034368635437795</c:v>
                      </c:pt>
                      <c:pt idx="284">
                        <c:v>0.96803543307086504</c:v>
                      </c:pt>
                      <c:pt idx="285">
                        <c:v>0.92458466029723996</c:v>
                      </c:pt>
                      <c:pt idx="286">
                        <c:v>1.00539736231707</c:v>
                      </c:pt>
                      <c:pt idx="287">
                        <c:v>1.00440075280898</c:v>
                      </c:pt>
                      <c:pt idx="288">
                        <c:v>0.89982326048171202</c:v>
                      </c:pt>
                      <c:pt idx="289">
                        <c:v>0.96792099406528098</c:v>
                      </c:pt>
                      <c:pt idx="290">
                        <c:v>1.0056743275618301</c:v>
                      </c:pt>
                      <c:pt idx="291">
                        <c:v>1.0070188112831799</c:v>
                      </c:pt>
                      <c:pt idx="292">
                        <c:v>1.00778180486842</c:v>
                      </c:pt>
                      <c:pt idx="293">
                        <c:v>0.95273640167364004</c:v>
                      </c:pt>
                      <c:pt idx="294">
                        <c:v>0.96615738958333297</c:v>
                      </c:pt>
                      <c:pt idx="295">
                        <c:v>1.0229946072390499</c:v>
                      </c:pt>
                      <c:pt idx="296">
                        <c:v>1.0058048366449499</c:v>
                      </c:pt>
                      <c:pt idx="297">
                        <c:v>1.00372404688524</c:v>
                      </c:pt>
                      <c:pt idx="298">
                        <c:v>0.98177172364672305</c:v>
                      </c:pt>
                      <c:pt idx="299">
                        <c:v>1.00512653141361</c:v>
                      </c:pt>
                      <c:pt idx="300">
                        <c:v>1.0122787745098001</c:v>
                      </c:pt>
                      <c:pt idx="301">
                        <c:v>1.01165582154308</c:v>
                      </c:pt>
                      <c:pt idx="302">
                        <c:v>1.00537108828967</c:v>
                      </c:pt>
                      <c:pt idx="303">
                        <c:v>1.0094359544933</c:v>
                      </c:pt>
                      <c:pt idx="304">
                        <c:v>1.00570416250901</c:v>
                      </c:pt>
                      <c:pt idx="305">
                        <c:v>1.01012548210227</c:v>
                      </c:pt>
                      <c:pt idx="306">
                        <c:v>1.02813163769841</c:v>
                      </c:pt>
                      <c:pt idx="307">
                        <c:v>1.0022529517699099</c:v>
                      </c:pt>
                      <c:pt idx="308">
                        <c:v>1.00643729920792</c:v>
                      </c:pt>
                      <c:pt idx="309">
                        <c:v>1.0057943245318299</c:v>
                      </c:pt>
                      <c:pt idx="310">
                        <c:v>0.95784584367245595</c:v>
                      </c:pt>
                      <c:pt idx="311">
                        <c:v>1.0037958916299501</c:v>
                      </c:pt>
                      <c:pt idx="312">
                        <c:v>0.970222392638036</c:v>
                      </c:pt>
                      <c:pt idx="313">
                        <c:v>0.97171474358974297</c:v>
                      </c:pt>
                      <c:pt idx="314">
                        <c:v>1.0084761712304999</c:v>
                      </c:pt>
                      <c:pt idx="315">
                        <c:v>1.0053957977842001</c:v>
                      </c:pt>
                      <c:pt idx="316">
                        <c:v>1.0138172697238601</c:v>
                      </c:pt>
                      <c:pt idx="317">
                        <c:v>1.0252407622222199</c:v>
                      </c:pt>
                      <c:pt idx="318">
                        <c:v>0.96947409408960905</c:v>
                      </c:pt>
                      <c:pt idx="319">
                        <c:v>1.0065477459734899</c:v>
                      </c:pt>
                      <c:pt idx="320">
                        <c:v>1.0060472822262101</c:v>
                      </c:pt>
                      <c:pt idx="321">
                        <c:v>1.0041052915014099</c:v>
                      </c:pt>
                      <c:pt idx="322">
                        <c:v>0.97969371890547197</c:v>
                      </c:pt>
                      <c:pt idx="323">
                        <c:v>1.00907925194585</c:v>
                      </c:pt>
                      <c:pt idx="324">
                        <c:v>1.00863910243902</c:v>
                      </c:pt>
                      <c:pt idx="325">
                        <c:v>1.0165095146379</c:v>
                      </c:pt>
                      <c:pt idx="326">
                        <c:v>0.96637861512791901</c:v>
                      </c:pt>
                      <c:pt idx="327">
                        <c:v>1.02471853955555</c:v>
                      </c:pt>
                      <c:pt idx="328">
                        <c:v>1.00879339143167</c:v>
                      </c:pt>
                      <c:pt idx="329">
                        <c:v>0.98114372781186099</c:v>
                      </c:pt>
                      <c:pt idx="330">
                        <c:v>1.0054757328155299</c:v>
                      </c:pt>
                      <c:pt idx="331">
                        <c:v>1.00261809491978</c:v>
                      </c:pt>
                      <c:pt idx="332">
                        <c:v>1.00626976818181</c:v>
                      </c:pt>
                      <c:pt idx="333">
                        <c:v>1.0137914930041101</c:v>
                      </c:pt>
                      <c:pt idx="334">
                        <c:v>1.0026330554621801</c:v>
                      </c:pt>
                      <c:pt idx="335">
                        <c:v>0.97060440544412596</c:v>
                      </c:pt>
                      <c:pt idx="336">
                        <c:v>1.00996800030395</c:v>
                      </c:pt>
                      <c:pt idx="337">
                        <c:v>1.0070773503079999</c:v>
                      </c:pt>
                      <c:pt idx="338">
                        <c:v>1.0053680248730901</c:v>
                      </c:pt>
                      <c:pt idx="339">
                        <c:v>1.0066036877906901</c:v>
                      </c:pt>
                      <c:pt idx="340">
                        <c:v>1.02803465842472</c:v>
                      </c:pt>
                      <c:pt idx="341">
                        <c:v>1.01215044700996</c:v>
                      </c:pt>
                      <c:pt idx="342">
                        <c:v>1.00729490643015</c:v>
                      </c:pt>
                      <c:pt idx="343">
                        <c:v>1.0054084517450601</c:v>
                      </c:pt>
                      <c:pt idx="344">
                        <c:v>1.0030198623831701</c:v>
                      </c:pt>
                      <c:pt idx="345">
                        <c:v>1.00487241244019</c:v>
                      </c:pt>
                      <c:pt idx="346">
                        <c:v>0.96388345195729497</c:v>
                      </c:pt>
                      <c:pt idx="347">
                        <c:v>0.97282311177024405</c:v>
                      </c:pt>
                      <c:pt idx="348">
                        <c:v>0.97589900311827904</c:v>
                      </c:pt>
                      <c:pt idx="349">
                        <c:v>1.00523786207584</c:v>
                      </c:pt>
                      <c:pt idx="350">
                        <c:v>1.0091342397260199</c:v>
                      </c:pt>
                      <c:pt idx="351">
                        <c:v>1.0095143508714499</c:v>
                      </c:pt>
                      <c:pt idx="352">
                        <c:v>0.79179757882882795</c:v>
                      </c:pt>
                      <c:pt idx="353">
                        <c:v>1.0060029364321601</c:v>
                      </c:pt>
                      <c:pt idx="354">
                        <c:v>1.0042131509960099</c:v>
                      </c:pt>
                      <c:pt idx="355">
                        <c:v>1.01224137828746</c:v>
                      </c:pt>
                      <c:pt idx="356">
                        <c:v>1.00523398843843</c:v>
                      </c:pt>
                      <c:pt idx="357">
                        <c:v>1.00490322187028</c:v>
                      </c:pt>
                      <c:pt idx="358">
                        <c:v>1.0049064116630599</c:v>
                      </c:pt>
                      <c:pt idx="359">
                        <c:v>1.0040864133226299</c:v>
                      </c:pt>
                      <c:pt idx="360">
                        <c:v>1.01684702911646</c:v>
                      </c:pt>
                      <c:pt idx="361">
                        <c:v>0.969702904929577</c:v>
                      </c:pt>
                      <c:pt idx="362">
                        <c:v>1.0050016414538301</c:v>
                      </c:pt>
                      <c:pt idx="363">
                        <c:v>1.0530124520900299</c:v>
                      </c:pt>
                      <c:pt idx="364">
                        <c:v>1.00811207916666</c:v>
                      </c:pt>
                      <c:pt idx="365">
                        <c:v>1.00689728050314</c:v>
                      </c:pt>
                      <c:pt idx="366">
                        <c:v>1.03361977530224</c:v>
                      </c:pt>
                      <c:pt idx="367">
                        <c:v>0.95682585905649398</c:v>
                      </c:pt>
                      <c:pt idx="368">
                        <c:v>0.96698129251700604</c:v>
                      </c:pt>
                      <c:pt idx="369">
                        <c:v>0.97205197466467896</c:v>
                      </c:pt>
                      <c:pt idx="370">
                        <c:v>0.98505727091633399</c:v>
                      </c:pt>
                      <c:pt idx="371">
                        <c:v>1.0043443133448799</c:v>
                      </c:pt>
                      <c:pt idx="372">
                        <c:v>1.0391498323427999</c:v>
                      </c:pt>
                      <c:pt idx="373">
                        <c:v>1.0051915592281799</c:v>
                      </c:pt>
                      <c:pt idx="374">
                        <c:v>1.0096341681635299</c:v>
                      </c:pt>
                      <c:pt idx="375">
                        <c:v>0.97817203795811503</c:v>
                      </c:pt>
                      <c:pt idx="376">
                        <c:v>1.0493156355953901</c:v>
                      </c:pt>
                      <c:pt idx="377">
                        <c:v>1.0049343874015699</c:v>
                      </c:pt>
                      <c:pt idx="378">
                        <c:v>1.0034774172897101</c:v>
                      </c:pt>
                      <c:pt idx="379">
                        <c:v>1.0044033568047299</c:v>
                      </c:pt>
                      <c:pt idx="380">
                        <c:v>1.00340087120115</c:v>
                      </c:pt>
                      <c:pt idx="381">
                        <c:v>1.00136826899563</c:v>
                      </c:pt>
                      <c:pt idx="382">
                        <c:v>1.00672331601382</c:v>
                      </c:pt>
                      <c:pt idx="383">
                        <c:v>1.00724032306338</c:v>
                      </c:pt>
                      <c:pt idx="384">
                        <c:v>1.01095764992657</c:v>
                      </c:pt>
                      <c:pt idx="385">
                        <c:v>1.0056085966587101</c:v>
                      </c:pt>
                      <c:pt idx="386">
                        <c:v>1.00476351756756</c:v>
                      </c:pt>
                      <c:pt idx="387">
                        <c:v>1.0020668443271701</c:v>
                      </c:pt>
                      <c:pt idx="388">
                        <c:v>1.02348307960088</c:v>
                      </c:pt>
                      <c:pt idx="389">
                        <c:v>1.02861291433497</c:v>
                      </c:pt>
                      <c:pt idx="390">
                        <c:v>1.0087037111111099</c:v>
                      </c:pt>
                      <c:pt idx="391">
                        <c:v>1.0060256461538399</c:v>
                      </c:pt>
                      <c:pt idx="392">
                        <c:v>1.0144584062588899</c:v>
                      </c:pt>
                      <c:pt idx="393">
                        <c:v>1.00687135087719</c:v>
                      </c:pt>
                      <c:pt idx="394">
                        <c:v>0.96149000563063003</c:v>
                      </c:pt>
                      <c:pt idx="395">
                        <c:v>0.97937553602058303</c:v>
                      </c:pt>
                      <c:pt idx="396">
                        <c:v>1.00814528716814</c:v>
                      </c:pt>
                      <c:pt idx="397">
                        <c:v>1.00229392819956</c:v>
                      </c:pt>
                      <c:pt idx="398">
                        <c:v>1.0065487729903499</c:v>
                      </c:pt>
                      <c:pt idx="399">
                        <c:v>1.0038340896084299</c:v>
                      </c:pt>
                      <c:pt idx="400">
                        <c:v>1.0235301869062901</c:v>
                      </c:pt>
                      <c:pt idx="401">
                        <c:v>1.01369362067669</c:v>
                      </c:pt>
                      <c:pt idx="402">
                        <c:v>1.0067830597765299</c:v>
                      </c:pt>
                      <c:pt idx="403">
                        <c:v>1.0084005080601</c:v>
                      </c:pt>
                      <c:pt idx="404">
                        <c:v>0.90436285500747304</c:v>
                      </c:pt>
                      <c:pt idx="405">
                        <c:v>0.97245130736392704</c:v>
                      </c:pt>
                      <c:pt idx="406">
                        <c:v>1.0013373995121899</c:v>
                      </c:pt>
                      <c:pt idx="407">
                        <c:v>1.00795022139639</c:v>
                      </c:pt>
                      <c:pt idx="408">
                        <c:v>0.88484515557287602</c:v>
                      </c:pt>
                      <c:pt idx="409">
                        <c:v>0.94945107398567996</c:v>
                      </c:pt>
                      <c:pt idx="410">
                        <c:v>0.95886652542372797</c:v>
                      </c:pt>
                      <c:pt idx="411">
                        <c:v>1.0059586945299099</c:v>
                      </c:pt>
                      <c:pt idx="412">
                        <c:v>3.4922379291925401</c:v>
                      </c:pt>
                      <c:pt idx="413">
                        <c:v>0.86702961019490199</c:v>
                      </c:pt>
                      <c:pt idx="414">
                        <c:v>0.97171474358974297</c:v>
                      </c:pt>
                      <c:pt idx="415">
                        <c:v>1.01580878140589</c:v>
                      </c:pt>
                      <c:pt idx="416">
                        <c:v>1.00594421850311</c:v>
                      </c:pt>
                      <c:pt idx="417">
                        <c:v>1.0085265559292</c:v>
                      </c:pt>
                      <c:pt idx="418">
                        <c:v>1.0176547234726601</c:v>
                      </c:pt>
                      <c:pt idx="419">
                        <c:v>1.00791723119143</c:v>
                      </c:pt>
                      <c:pt idx="420">
                        <c:v>1.01998043923444</c:v>
                      </c:pt>
                      <c:pt idx="421">
                        <c:v>1.00901128586466</c:v>
                      </c:pt>
                      <c:pt idx="422">
                        <c:v>1.00930813549382</c:v>
                      </c:pt>
                      <c:pt idx="423">
                        <c:v>1.01958335</c:v>
                      </c:pt>
                      <c:pt idx="424">
                        <c:v>1.0083822672348399</c:v>
                      </c:pt>
                      <c:pt idx="425">
                        <c:v>0.95459971098265795</c:v>
                      </c:pt>
                      <c:pt idx="426">
                        <c:v>1.00774819499999</c:v>
                      </c:pt>
                      <c:pt idx="427">
                        <c:v>1.0046802974842699</c:v>
                      </c:pt>
                      <c:pt idx="428">
                        <c:v>0.90981592356687802</c:v>
                      </c:pt>
                      <c:pt idx="429">
                        <c:v>1.0037831471590899</c:v>
                      </c:pt>
                      <c:pt idx="430">
                        <c:v>1.0043788857142799</c:v>
                      </c:pt>
                      <c:pt idx="431">
                        <c:v>1.0084477196078401</c:v>
                      </c:pt>
                      <c:pt idx="432">
                        <c:v>1.00641140470016</c:v>
                      </c:pt>
                      <c:pt idx="433">
                        <c:v>0.96425532945736403</c:v>
                      </c:pt>
                      <c:pt idx="434">
                        <c:v>1.0062831137931001</c:v>
                      </c:pt>
                      <c:pt idx="435">
                        <c:v>1.00090733667953</c:v>
                      </c:pt>
                      <c:pt idx="436">
                        <c:v>0.96304531249999903</c:v>
                      </c:pt>
                      <c:pt idx="437">
                        <c:v>1.00501841369661</c:v>
                      </c:pt>
                      <c:pt idx="438">
                        <c:v>1.00194947375565</c:v>
                      </c:pt>
                      <c:pt idx="439">
                        <c:v>1.0156921957654701</c:v>
                      </c:pt>
                      <c:pt idx="440">
                        <c:v>1.01269514466292</c:v>
                      </c:pt>
                      <c:pt idx="441">
                        <c:v>1.0061127219653101</c:v>
                      </c:pt>
                      <c:pt idx="442">
                        <c:v>1.0075966333099</c:v>
                      </c:pt>
                      <c:pt idx="443">
                        <c:v>1.014092652</c:v>
                      </c:pt>
                      <c:pt idx="444">
                        <c:v>1.00618117536873</c:v>
                      </c:pt>
                      <c:pt idx="445">
                        <c:v>1.0046212160541499</c:v>
                      </c:pt>
                      <c:pt idx="446">
                        <c:v>1.0338990267404999</c:v>
                      </c:pt>
                      <c:pt idx="447">
                        <c:v>0.96072465170278598</c:v>
                      </c:pt>
                      <c:pt idx="448">
                        <c:v>1.0206440163147701</c:v>
                      </c:pt>
                      <c:pt idx="449">
                        <c:v>0.80408500000000005</c:v>
                      </c:pt>
                      <c:pt idx="450">
                        <c:v>1.01157093599062</c:v>
                      </c:pt>
                      <c:pt idx="451">
                        <c:v>0.96783340480274405</c:v>
                      </c:pt>
                      <c:pt idx="452">
                        <c:v>1.0067142914285701</c:v>
                      </c:pt>
                      <c:pt idx="453">
                        <c:v>1.0297765763406901</c:v>
                      </c:pt>
                      <c:pt idx="454">
                        <c:v>1.00474284257812</c:v>
                      </c:pt>
                      <c:pt idx="455">
                        <c:v>1.00776991214574</c:v>
                      </c:pt>
                      <c:pt idx="456">
                        <c:v>1.0131414585526299</c:v>
                      </c:pt>
                      <c:pt idx="457">
                        <c:v>1.0021363654545401</c:v>
                      </c:pt>
                      <c:pt idx="458">
                        <c:v>1.0037075274271801</c:v>
                      </c:pt>
                      <c:pt idx="459">
                        <c:v>1.0085677156249999</c:v>
                      </c:pt>
                      <c:pt idx="460">
                        <c:v>1.0064634701970401</c:v>
                      </c:pt>
                      <c:pt idx="461">
                        <c:v>1.00694093417721</c:v>
                      </c:pt>
                      <c:pt idx="462">
                        <c:v>1.0038502857627101</c:v>
                      </c:pt>
                      <c:pt idx="463">
                        <c:v>1.00812183771016</c:v>
                      </c:pt>
                      <c:pt idx="464">
                        <c:v>0.96390759532595305</c:v>
                      </c:pt>
                      <c:pt idx="465">
                        <c:v>0.97507182670270198</c:v>
                      </c:pt>
                      <c:pt idx="466">
                        <c:v>1.0090367486007901</c:v>
                      </c:pt>
                      <c:pt idx="467">
                        <c:v>1.00422978387096</c:v>
                      </c:pt>
                      <c:pt idx="468">
                        <c:v>1.0050694487588601</c:v>
                      </c:pt>
                      <c:pt idx="469">
                        <c:v>1.01370253787638</c:v>
                      </c:pt>
                      <c:pt idx="470">
                        <c:v>1.0013104100371699</c:v>
                      </c:pt>
                      <c:pt idx="471">
                        <c:v>1.00799721740585</c:v>
                      </c:pt>
                      <c:pt idx="472">
                        <c:v>1.0105070049418601</c:v>
                      </c:pt>
                      <c:pt idx="473">
                        <c:v>1.0035953806640601</c:v>
                      </c:pt>
                      <c:pt idx="474">
                        <c:v>0.91453033838973097</c:v>
                      </c:pt>
                      <c:pt idx="475">
                        <c:v>1.0043761675977601</c:v>
                      </c:pt>
                      <c:pt idx="476">
                        <c:v>1.00299510058823</c:v>
                      </c:pt>
                      <c:pt idx="477">
                        <c:v>1.0031678948529399</c:v>
                      </c:pt>
                      <c:pt idx="478">
                        <c:v>1.0116861807291599</c:v>
                      </c:pt>
                      <c:pt idx="479">
                        <c:v>1.00483188606676</c:v>
                      </c:pt>
                      <c:pt idx="480">
                        <c:v>1.00087686641791</c:v>
                      </c:pt>
                      <c:pt idx="481">
                        <c:v>1.00351386148796</c:v>
                      </c:pt>
                      <c:pt idx="482">
                        <c:v>1.00536767329796</c:v>
                      </c:pt>
                      <c:pt idx="483">
                        <c:v>1.0030273777777701</c:v>
                      </c:pt>
                      <c:pt idx="484">
                        <c:v>0.94990174672489003</c:v>
                      </c:pt>
                      <c:pt idx="485">
                        <c:v>1.0133137731767601</c:v>
                      </c:pt>
                      <c:pt idx="486">
                        <c:v>1.00490423516295</c:v>
                      </c:pt>
                      <c:pt idx="487">
                        <c:v>1.00631720967741</c:v>
                      </c:pt>
                      <c:pt idx="488">
                        <c:v>1.00206140526315</c:v>
                      </c:pt>
                      <c:pt idx="489">
                        <c:v>1.02514548491124</c:v>
                      </c:pt>
                      <c:pt idx="490">
                        <c:v>1.00591974727592</c:v>
                      </c:pt>
                      <c:pt idx="491">
                        <c:v>1.02367246260831</c:v>
                      </c:pt>
                      <c:pt idx="492">
                        <c:v>0.98041729502551</c:v>
                      </c:pt>
                      <c:pt idx="493">
                        <c:v>0.95841623036649204</c:v>
                      </c:pt>
                      <c:pt idx="494">
                        <c:v>0.88968749999999996</c:v>
                      </c:pt>
                      <c:pt idx="495">
                        <c:v>1.01432646253687</c:v>
                      </c:pt>
                      <c:pt idx="496">
                        <c:v>1.00488337989821</c:v>
                      </c:pt>
                      <c:pt idx="497">
                        <c:v>1.00413292785276</c:v>
                      </c:pt>
                      <c:pt idx="498">
                        <c:v>1.00448473664122</c:v>
                      </c:pt>
                      <c:pt idx="499">
                        <c:v>1.0084289504587101</c:v>
                      </c:pt>
                      <c:pt idx="500">
                        <c:v>1.00950478566131</c:v>
                      </c:pt>
                      <c:pt idx="501">
                        <c:v>1.0045694483333301</c:v>
                      </c:pt>
                      <c:pt idx="502">
                        <c:v>1.00421586006944</c:v>
                      </c:pt>
                      <c:pt idx="503">
                        <c:v>1.0054160647743799</c:v>
                      </c:pt>
                      <c:pt idx="504">
                        <c:v>1.01273890573394</c:v>
                      </c:pt>
                      <c:pt idx="505">
                        <c:v>1.0124793420682701</c:v>
                      </c:pt>
                      <c:pt idx="506">
                        <c:v>1.00203170201729</c:v>
                      </c:pt>
                      <c:pt idx="507">
                        <c:v>1.0271632845629901</c:v>
                      </c:pt>
                      <c:pt idx="508">
                        <c:v>1.0184791587473001</c:v>
                      </c:pt>
                      <c:pt idx="509">
                        <c:v>1.00422545311203</c:v>
                      </c:pt>
                      <c:pt idx="510">
                        <c:v>0.96254057428214701</c:v>
                      </c:pt>
                      <c:pt idx="511">
                        <c:v>0.94857317615658299</c:v>
                      </c:pt>
                      <c:pt idx="512">
                        <c:v>0.96436808628318504</c:v>
                      </c:pt>
                      <c:pt idx="513">
                        <c:v>0.87030582922824196</c:v>
                      </c:pt>
                      <c:pt idx="514">
                        <c:v>0.97469633154961</c:v>
                      </c:pt>
                      <c:pt idx="515">
                        <c:v>1.00263551626168</c:v>
                      </c:pt>
                      <c:pt idx="516">
                        <c:v>1.0059783693295199</c:v>
                      </c:pt>
                      <c:pt idx="517">
                        <c:v>0.96396669054441197</c:v>
                      </c:pt>
                      <c:pt idx="518">
                        <c:v>1.00543790738137</c:v>
                      </c:pt>
                      <c:pt idx="519">
                        <c:v>1.00460784705882</c:v>
                      </c:pt>
                      <c:pt idx="520">
                        <c:v>1.0070026775585601</c:v>
                      </c:pt>
                      <c:pt idx="521">
                        <c:v>1.0059601499999999</c:v>
                      </c:pt>
                      <c:pt idx="522">
                        <c:v>1.03188363595041</c:v>
                      </c:pt>
                      <c:pt idx="523">
                        <c:v>1.00364495516074</c:v>
                      </c:pt>
                      <c:pt idx="524">
                        <c:v>1.00744341158301</c:v>
                      </c:pt>
                      <c:pt idx="525">
                        <c:v>1.0050762432020299</c:v>
                      </c:pt>
                      <c:pt idx="526">
                        <c:v>1.0070016467084599</c:v>
                      </c:pt>
                      <c:pt idx="527">
                        <c:v>1.0072833093117399</c:v>
                      </c:pt>
                      <c:pt idx="528">
                        <c:v>1.0041267595785399</c:v>
                      </c:pt>
                      <c:pt idx="529">
                        <c:v>1.00418834653179</c:v>
                      </c:pt>
                      <c:pt idx="530">
                        <c:v>1.01161704383561</c:v>
                      </c:pt>
                      <c:pt idx="531">
                        <c:v>1.00414706235294</c:v>
                      </c:pt>
                      <c:pt idx="532">
                        <c:v>1.0083306949206301</c:v>
                      </c:pt>
                      <c:pt idx="533">
                        <c:v>1.0064186230769201</c:v>
                      </c:pt>
                      <c:pt idx="534">
                        <c:v>1.0064787022556301</c:v>
                      </c:pt>
                      <c:pt idx="535">
                        <c:v>1.0086371436241599</c:v>
                      </c:pt>
                      <c:pt idx="536">
                        <c:v>1.0037170506151101</c:v>
                      </c:pt>
                      <c:pt idx="537">
                        <c:v>1.00380787361111</c:v>
                      </c:pt>
                      <c:pt idx="538">
                        <c:v>1.01408835997295</c:v>
                      </c:pt>
                      <c:pt idx="539">
                        <c:v>0.78347445101351298</c:v>
                      </c:pt>
                      <c:pt idx="540">
                        <c:v>0.93269987699876999</c:v>
                      </c:pt>
                      <c:pt idx="541">
                        <c:v>1.0036319997493699</c:v>
                      </c:pt>
                      <c:pt idx="542">
                        <c:v>1.0033192118644001</c:v>
                      </c:pt>
                      <c:pt idx="543">
                        <c:v>1.0032103852459</c:v>
                      </c:pt>
                      <c:pt idx="544">
                        <c:v>1.0078155773242601</c:v>
                      </c:pt>
                      <c:pt idx="545">
                        <c:v>0.96299745748251697</c:v>
                      </c:pt>
                      <c:pt idx="546">
                        <c:v>0.84613804347826005</c:v>
                      </c:pt>
                      <c:pt idx="547">
                        <c:v>1.0058964822532399</c:v>
                      </c:pt>
                      <c:pt idx="548">
                        <c:v>1.01690988873873</c:v>
                      </c:pt>
                      <c:pt idx="549">
                        <c:v>1.0049647929577401</c:v>
                      </c:pt>
                      <c:pt idx="550">
                        <c:v>0.548384785189718</c:v>
                      </c:pt>
                      <c:pt idx="551">
                        <c:v>1.0038361580411099</c:v>
                      </c:pt>
                      <c:pt idx="552">
                        <c:v>1.03303978089171</c:v>
                      </c:pt>
                      <c:pt idx="553">
                        <c:v>1.00596825904761</c:v>
                      </c:pt>
                      <c:pt idx="554">
                        <c:v>1.0054492799999899</c:v>
                      </c:pt>
                      <c:pt idx="555">
                        <c:v>1.00427163701996</c:v>
                      </c:pt>
                      <c:pt idx="556">
                        <c:v>1.02980312613953</c:v>
                      </c:pt>
                      <c:pt idx="557">
                        <c:v>1.0059985036036001</c:v>
                      </c:pt>
                      <c:pt idx="558">
                        <c:v>1.0079213550561701</c:v>
                      </c:pt>
                      <c:pt idx="559">
                        <c:v>0.966805382377389</c:v>
                      </c:pt>
                      <c:pt idx="560">
                        <c:v>1.0035969418367301</c:v>
                      </c:pt>
                      <c:pt idx="561">
                        <c:v>0.94756751543209805</c:v>
                      </c:pt>
                      <c:pt idx="562">
                        <c:v>1.0264974715306101</c:v>
                      </c:pt>
                      <c:pt idx="563">
                        <c:v>0.96368211086226196</c:v>
                      </c:pt>
                      <c:pt idx="564">
                        <c:v>1.0062882316513699</c:v>
                      </c:pt>
                      <c:pt idx="565">
                        <c:v>1.0039788393650699</c:v>
                      </c:pt>
                      <c:pt idx="566">
                        <c:v>1.02531431471048</c:v>
                      </c:pt>
                      <c:pt idx="567">
                        <c:v>0.97796969917218501</c:v>
                      </c:pt>
                      <c:pt idx="568">
                        <c:v>1.00209821607142</c:v>
                      </c:pt>
                      <c:pt idx="569">
                        <c:v>1.0040256993576</c:v>
                      </c:pt>
                      <c:pt idx="570">
                        <c:v>1.00407986458333</c:v>
                      </c:pt>
                      <c:pt idx="571">
                        <c:v>1.0057072373098399</c:v>
                      </c:pt>
                      <c:pt idx="572">
                        <c:v>1.0115229269607799</c:v>
                      </c:pt>
                      <c:pt idx="573">
                        <c:v>1.0057885525911701</c:v>
                      </c:pt>
                      <c:pt idx="574">
                        <c:v>0.97027039007092197</c:v>
                      </c:pt>
                      <c:pt idx="575">
                        <c:v>0.98075398936170199</c:v>
                      </c:pt>
                      <c:pt idx="576">
                        <c:v>1.01835466848691</c:v>
                      </c:pt>
                      <c:pt idx="577">
                        <c:v>0.96231486486486395</c:v>
                      </c:pt>
                      <c:pt idx="578">
                        <c:v>1.01009189501557</c:v>
                      </c:pt>
                      <c:pt idx="579">
                        <c:v>1.0228282917460301</c:v>
                      </c:pt>
                      <c:pt idx="580">
                        <c:v>1.0064303537313399</c:v>
                      </c:pt>
                      <c:pt idx="581">
                        <c:v>1.0065124957845399</c:v>
                      </c:pt>
                      <c:pt idx="582">
                        <c:v>1.01195343906976</c:v>
                      </c:pt>
                      <c:pt idx="583">
                        <c:v>0.967283745247148</c:v>
                      </c:pt>
                      <c:pt idx="584">
                        <c:v>1.00450932401315</c:v>
                      </c:pt>
                      <c:pt idx="585">
                        <c:v>1.00871349056179</c:v>
                      </c:pt>
                      <c:pt idx="586">
                        <c:v>0.92029847094801198</c:v>
                      </c:pt>
                      <c:pt idx="587">
                        <c:v>0.93224422574257404</c:v>
                      </c:pt>
                      <c:pt idx="588">
                        <c:v>1.00391667</c:v>
                      </c:pt>
                      <c:pt idx="589">
                        <c:v>1.01727702276341</c:v>
                      </c:pt>
                      <c:pt idx="590">
                        <c:v>1.0062600241866999</c:v>
                      </c:pt>
                      <c:pt idx="591">
                        <c:v>1.00673542654075</c:v>
                      </c:pt>
                      <c:pt idx="592">
                        <c:v>1.0156212002074601</c:v>
                      </c:pt>
                      <c:pt idx="593">
                        <c:v>1.0084232986610799</c:v>
                      </c:pt>
                      <c:pt idx="594">
                        <c:v>1.00141323144329</c:v>
                      </c:pt>
                      <c:pt idx="595">
                        <c:v>1.0291368869813999</c:v>
                      </c:pt>
                      <c:pt idx="597">
                        <c:v>1.0037684048895801</c:v>
                      </c:pt>
                      <c:pt idx="598">
                        <c:v>1.00453299878172</c:v>
                      </c:pt>
                      <c:pt idx="599">
                        <c:v>1.0090998081437099</c:v>
                      </c:pt>
                      <c:pt idx="600">
                        <c:v>1.00654418479899</c:v>
                      </c:pt>
                      <c:pt idx="601">
                        <c:v>0.96866645781119398</c:v>
                      </c:pt>
                      <c:pt idx="602">
                        <c:v>1.0039942278217799</c:v>
                      </c:pt>
                      <c:pt idx="603">
                        <c:v>1.07249374688221</c:v>
                      </c:pt>
                      <c:pt idx="604">
                        <c:v>1.0048048368029701</c:v>
                      </c:pt>
                      <c:pt idx="605">
                        <c:v>1.0059068109048701</c:v>
                      </c:pt>
                      <c:pt idx="606">
                        <c:v>1.00643452928571</c:v>
                      </c:pt>
                      <c:pt idx="607">
                        <c:v>1.00069629688888</c:v>
                      </c:pt>
                      <c:pt idx="608">
                        <c:v>1.0285950691527099</c:v>
                      </c:pt>
                      <c:pt idx="609">
                        <c:v>1.00403186617647</c:v>
                      </c:pt>
                      <c:pt idx="610">
                        <c:v>1.00377160814814</c:v>
                      </c:pt>
                      <c:pt idx="611">
                        <c:v>1.00339876322314</c:v>
                      </c:pt>
                      <c:pt idx="612">
                        <c:v>1.0048386876459099</c:v>
                      </c:pt>
                      <c:pt idx="613">
                        <c:v>1.00386397937219</c:v>
                      </c:pt>
                      <c:pt idx="614">
                        <c:v>1.00482488333333</c:v>
                      </c:pt>
                      <c:pt idx="615">
                        <c:v>0.97581610576922995</c:v>
                      </c:pt>
                      <c:pt idx="616">
                        <c:v>1.0052128341726601</c:v>
                      </c:pt>
                      <c:pt idx="617">
                        <c:v>1.00416212888283</c:v>
                      </c:pt>
                      <c:pt idx="618">
                        <c:v>0.79502524630541804</c:v>
                      </c:pt>
                      <c:pt idx="619">
                        <c:v>1.0084344131188101</c:v>
                      </c:pt>
                      <c:pt idx="620">
                        <c:v>0.66789018646616505</c:v>
                      </c:pt>
                      <c:pt idx="621">
                        <c:v>1.0027239998120301</c:v>
                      </c:pt>
                      <c:pt idx="622">
                        <c:v>1.03903070451388</c:v>
                      </c:pt>
                      <c:pt idx="623">
                        <c:v>0.88693427620632204</c:v>
                      </c:pt>
                      <c:pt idx="624">
                        <c:v>1.0260054202429101</c:v>
                      </c:pt>
                      <c:pt idx="625">
                        <c:v>1.0050889447795801</c:v>
                      </c:pt>
                      <c:pt idx="626">
                        <c:v>0.96882472826086896</c:v>
                      </c:pt>
                      <c:pt idx="627">
                        <c:v>1.00202219375</c:v>
                      </c:pt>
                      <c:pt idx="628">
                        <c:v>1.0215744499356401</c:v>
                      </c:pt>
                      <c:pt idx="629">
                        <c:v>1.00525999070247</c:v>
                      </c:pt>
                      <c:pt idx="630">
                        <c:v>1.0052675388286301</c:v>
                      </c:pt>
                      <c:pt idx="631">
                        <c:v>1.00155233871951</c:v>
                      </c:pt>
                      <c:pt idx="632">
                        <c:v>1.00650672596774</c:v>
                      </c:pt>
                      <c:pt idx="633">
                        <c:v>1.0052879526315699</c:v>
                      </c:pt>
                      <c:pt idx="634">
                        <c:v>0.96791932397959102</c:v>
                      </c:pt>
                      <c:pt idx="635">
                        <c:v>1.0015006398467401</c:v>
                      </c:pt>
                      <c:pt idx="636">
                        <c:v>1.00601141794569</c:v>
                      </c:pt>
                      <c:pt idx="637">
                        <c:v>0.97215754792332199</c:v>
                      </c:pt>
                      <c:pt idx="638">
                        <c:v>1.00476585951327</c:v>
                      </c:pt>
                      <c:pt idx="639">
                        <c:v>1.0078481828990999</c:v>
                      </c:pt>
                      <c:pt idx="640">
                        <c:v>1.0065277833333299</c:v>
                      </c:pt>
                      <c:pt idx="641">
                        <c:v>0.97122282608695598</c:v>
                      </c:pt>
                      <c:pt idx="642">
                        <c:v>0.98341637181628305</c:v>
                      </c:pt>
                      <c:pt idx="643">
                        <c:v>0.96972861178369596</c:v>
                      </c:pt>
                      <c:pt idx="644">
                        <c:v>1.0008333340425499</c:v>
                      </c:pt>
                      <c:pt idx="645">
                        <c:v>0.84753884826325399</c:v>
                      </c:pt>
                      <c:pt idx="646">
                        <c:v>1.0079068924882599</c:v>
                      </c:pt>
                      <c:pt idx="647">
                        <c:v>0.97804278117647003</c:v>
                      </c:pt>
                      <c:pt idx="648">
                        <c:v>1.0040430141935399</c:v>
                      </c:pt>
                      <c:pt idx="649">
                        <c:v>1.0276911063694201</c:v>
                      </c:pt>
                      <c:pt idx="650">
                        <c:v>1.0215869270627</c:v>
                      </c:pt>
                      <c:pt idx="651">
                        <c:v>0.97178401360544198</c:v>
                      </c:pt>
                      <c:pt idx="652">
                        <c:v>0.87748864533965198</c:v>
                      </c:pt>
                      <c:pt idx="653">
                        <c:v>1.0029228880597001</c:v>
                      </c:pt>
                      <c:pt idx="654">
                        <c:v>1.0058936558095199</c:v>
                      </c:pt>
                      <c:pt idx="655">
                        <c:v>1.0096696422551901</c:v>
                      </c:pt>
                      <c:pt idx="656">
                        <c:v>1.0038985372685101</c:v>
                      </c:pt>
                      <c:pt idx="657">
                        <c:v>1.00352771662817</c:v>
                      </c:pt>
                      <c:pt idx="658">
                        <c:v>1.0388235087623201</c:v>
                      </c:pt>
                      <c:pt idx="659">
                        <c:v>1.0070299205128199</c:v>
                      </c:pt>
                      <c:pt idx="660">
                        <c:v>1.00589859939759</c:v>
                      </c:pt>
                      <c:pt idx="661">
                        <c:v>1.0138178200000001</c:v>
                      </c:pt>
                      <c:pt idx="662">
                        <c:v>1.00955147518037</c:v>
                      </c:pt>
                      <c:pt idx="663">
                        <c:v>1.0340282116618</c:v>
                      </c:pt>
                      <c:pt idx="664">
                        <c:v>1.00373307609375</c:v>
                      </c:pt>
                      <c:pt idx="665">
                        <c:v>1.00562739942528</c:v>
                      </c:pt>
                      <c:pt idx="666">
                        <c:v>1.0114762545820699</c:v>
                      </c:pt>
                      <c:pt idx="667">
                        <c:v>0.97242187499999999</c:v>
                      </c:pt>
                      <c:pt idx="668">
                        <c:v>0.96032620614035002</c:v>
                      </c:pt>
                      <c:pt idx="669">
                        <c:v>0.86075867947923101</c:v>
                      </c:pt>
                      <c:pt idx="670">
                        <c:v>1.00688063648648</c:v>
                      </c:pt>
                      <c:pt idx="671">
                        <c:v>1.00226584214876</c:v>
                      </c:pt>
                      <c:pt idx="672">
                        <c:v>1.00813340745967</c:v>
                      </c:pt>
                      <c:pt idx="673">
                        <c:v>1.01323358099415</c:v>
                      </c:pt>
                      <c:pt idx="674">
                        <c:v>1.00352650363984</c:v>
                      </c:pt>
                      <c:pt idx="675">
                        <c:v>1.00533734589178</c:v>
                      </c:pt>
                      <c:pt idx="676">
                        <c:v>0.97671796482411999</c:v>
                      </c:pt>
                      <c:pt idx="677">
                        <c:v>1.01366844977856</c:v>
                      </c:pt>
                      <c:pt idx="678">
                        <c:v>0.96609972713178205</c:v>
                      </c:pt>
                      <c:pt idx="679">
                        <c:v>1.011441442</c:v>
                      </c:pt>
                      <c:pt idx="680">
                        <c:v>1.00641037715827</c:v>
                      </c:pt>
                      <c:pt idx="681">
                        <c:v>1.0226487397806501</c:v>
                      </c:pt>
                      <c:pt idx="682">
                        <c:v>1.0043564571030601</c:v>
                      </c:pt>
                      <c:pt idx="683">
                        <c:v>1.0052879526315699</c:v>
                      </c:pt>
                      <c:pt idx="684">
                        <c:v>0.95506412710566602</c:v>
                      </c:pt>
                      <c:pt idx="685">
                        <c:v>1.00500710653409</c:v>
                      </c:pt>
                      <c:pt idx="686">
                        <c:v>0.96687488498705698</c:v>
                      </c:pt>
                      <c:pt idx="687">
                        <c:v>1.0071957425581299</c:v>
                      </c:pt>
                      <c:pt idx="688">
                        <c:v>1.0077177187453801</c:v>
                      </c:pt>
                      <c:pt idx="689">
                        <c:v>0.97463196864111501</c:v>
                      </c:pt>
                      <c:pt idx="690">
                        <c:v>1.0056633736681799</c:v>
                      </c:pt>
                      <c:pt idx="691">
                        <c:v>1.0053252969298201</c:v>
                      </c:pt>
                      <c:pt idx="692">
                        <c:v>0.96770039322444001</c:v>
                      </c:pt>
                      <c:pt idx="693">
                        <c:v>1.0055503612299399</c:v>
                      </c:pt>
                      <c:pt idx="694">
                        <c:v>0.963472682119205</c:v>
                      </c:pt>
                      <c:pt idx="695">
                        <c:v>1.0109621084548099</c:v>
                      </c:pt>
                      <c:pt idx="696">
                        <c:v>0.96599389097744304</c:v>
                      </c:pt>
                      <c:pt idx="697">
                        <c:v>1.00487889688581</c:v>
                      </c:pt>
                      <c:pt idx="698">
                        <c:v>0.91576973226703695</c:v>
                      </c:pt>
                      <c:pt idx="699">
                        <c:v>0.957713541666666</c:v>
                      </c:pt>
                      <c:pt idx="700">
                        <c:v>0.95348525145067697</c:v>
                      </c:pt>
                      <c:pt idx="701">
                        <c:v>1.00658173195592</c:v>
                      </c:pt>
                      <c:pt idx="702">
                        <c:v>1.0028786216035599</c:v>
                      </c:pt>
                      <c:pt idx="703">
                        <c:v>1.0026446967845599</c:v>
                      </c:pt>
                      <c:pt idx="704">
                        <c:v>0.96752220812182699</c:v>
                      </c:pt>
                      <c:pt idx="705">
                        <c:v>1.02388879733155</c:v>
                      </c:pt>
                      <c:pt idx="706">
                        <c:v>0.99158795493934104</c:v>
                      </c:pt>
                      <c:pt idx="707">
                        <c:v>1.0209949938401</c:v>
                      </c:pt>
                      <c:pt idx="708">
                        <c:v>1.00517000439999</c:v>
                      </c:pt>
                      <c:pt idx="709">
                        <c:v>1.0148563344827499</c:v>
                      </c:pt>
                      <c:pt idx="710">
                        <c:v>1.00547415554553</c:v>
                      </c:pt>
                      <c:pt idx="711">
                        <c:v>0.96830801104972297</c:v>
                      </c:pt>
                      <c:pt idx="712">
                        <c:v>0.98411499999999996</c:v>
                      </c:pt>
                      <c:pt idx="713">
                        <c:v>0.95053834808259596</c:v>
                      </c:pt>
                      <c:pt idx="714">
                        <c:v>0.97432989338842901</c:v>
                      </c:pt>
                      <c:pt idx="715">
                        <c:v>1.0033333361702099</c:v>
                      </c:pt>
                      <c:pt idx="716">
                        <c:v>1.0078070536241599</c:v>
                      </c:pt>
                      <c:pt idx="717">
                        <c:v>0.95857831027667895</c:v>
                      </c:pt>
                      <c:pt idx="718">
                        <c:v>0.81659383786316697</c:v>
                      </c:pt>
                      <c:pt idx="719">
                        <c:v>1.0032434923437401</c:v>
                      </c:pt>
                      <c:pt idx="720">
                        <c:v>1.00548832738853</c:v>
                      </c:pt>
                      <c:pt idx="721">
                        <c:v>1.00554414474885</c:v>
                      </c:pt>
                      <c:pt idx="722">
                        <c:v>1.0018710207006301</c:v>
                      </c:pt>
                      <c:pt idx="723">
                        <c:v>1.03402470307262</c:v>
                      </c:pt>
                      <c:pt idx="724">
                        <c:v>0.40810331174088998</c:v>
                      </c:pt>
                      <c:pt idx="725">
                        <c:v>1.0045605061643801</c:v>
                      </c:pt>
                      <c:pt idx="726">
                        <c:v>0.97504498714652899</c:v>
                      </c:pt>
                      <c:pt idx="727">
                        <c:v>1.00600000510638</c:v>
                      </c:pt>
                      <c:pt idx="728">
                        <c:v>1.0033764396551701</c:v>
                      </c:pt>
                      <c:pt idx="729">
                        <c:v>1.0114432807407401</c:v>
                      </c:pt>
                      <c:pt idx="730">
                        <c:v>0.98424107142857098</c:v>
                      </c:pt>
                      <c:pt idx="731">
                        <c:v>1.0040151549323</c:v>
                      </c:pt>
                      <c:pt idx="732">
                        <c:v>1.0235469965517201</c:v>
                      </c:pt>
                      <c:pt idx="733">
                        <c:v>1.0275865324572899</c:v>
                      </c:pt>
                      <c:pt idx="734">
                        <c:v>1.01134997007125</c:v>
                      </c:pt>
                      <c:pt idx="735">
                        <c:v>1.01300994547872</c:v>
                      </c:pt>
                      <c:pt idx="736">
                        <c:v>1.0056146876629</c:v>
                      </c:pt>
                      <c:pt idx="737">
                        <c:v>1.01350241006896</c:v>
                      </c:pt>
                      <c:pt idx="738">
                        <c:v>1.02119793470744</c:v>
                      </c:pt>
                      <c:pt idx="739">
                        <c:v>1.00295021896103</c:v>
                      </c:pt>
                      <c:pt idx="740">
                        <c:v>1.0037367522968099</c:v>
                      </c:pt>
                      <c:pt idx="741">
                        <c:v>0.976578473132372</c:v>
                      </c:pt>
                      <c:pt idx="742">
                        <c:v>0.96496555474642298</c:v>
                      </c:pt>
                      <c:pt idx="743">
                        <c:v>1.01435301428571</c:v>
                      </c:pt>
                      <c:pt idx="744">
                        <c:v>1.0062197981587999</c:v>
                      </c:pt>
                      <c:pt idx="745">
                        <c:v>1.0117034179077999</c:v>
                      </c:pt>
                      <c:pt idx="746">
                        <c:v>1.00459555946666</c:v>
                      </c:pt>
                      <c:pt idx="747">
                        <c:v>1.0184739882703699</c:v>
                      </c:pt>
                      <c:pt idx="748">
                        <c:v>1.01244285054151</c:v>
                      </c:pt>
                      <c:pt idx="749">
                        <c:v>1.00793776366612</c:v>
                      </c:pt>
                      <c:pt idx="750">
                        <c:v>1.0152975369808299</c:v>
                      </c:pt>
                      <c:pt idx="751">
                        <c:v>1.00683377317708</c:v>
                      </c:pt>
                      <c:pt idx="752">
                        <c:v>1.0023594397590301</c:v>
                      </c:pt>
                      <c:pt idx="753">
                        <c:v>1.0013823541176401</c:v>
                      </c:pt>
                      <c:pt idx="754">
                        <c:v>1.00641898694444</c:v>
                      </c:pt>
                      <c:pt idx="755">
                        <c:v>1.0027359091911701</c:v>
                      </c:pt>
                      <c:pt idx="756">
                        <c:v>1.0038461571194699</c:v>
                      </c:pt>
                      <c:pt idx="757">
                        <c:v>1.00286149406392</c:v>
                      </c:pt>
                      <c:pt idx="758">
                        <c:v>1.00570207326968</c:v>
                      </c:pt>
                      <c:pt idx="759">
                        <c:v>0.96943383658969795</c:v>
                      </c:pt>
                      <c:pt idx="760">
                        <c:v>1.0056467328220799</c:v>
                      </c:pt>
                      <c:pt idx="761">
                        <c:v>1.00485251150442</c:v>
                      </c:pt>
                      <c:pt idx="762">
                        <c:v>1.0144746499999999</c:v>
                      </c:pt>
                      <c:pt idx="763">
                        <c:v>1.0056675328165301</c:v>
                      </c:pt>
                      <c:pt idx="764">
                        <c:v>1.0071988638629199</c:v>
                      </c:pt>
                      <c:pt idx="765">
                        <c:v>0.96912846803377495</c:v>
                      </c:pt>
                      <c:pt idx="766">
                        <c:v>1.0029863173020499</c:v>
                      </c:pt>
                      <c:pt idx="767">
                        <c:v>1.0060737413911001</c:v>
                      </c:pt>
                      <c:pt idx="768">
                        <c:v>0.96196120689655096</c:v>
                      </c:pt>
                      <c:pt idx="769">
                        <c:v>1.0070683004246199</c:v>
                      </c:pt>
                      <c:pt idx="770">
                        <c:v>0.97226211210191005</c:v>
                      </c:pt>
                      <c:pt idx="771">
                        <c:v>1.0056890178770901</c:v>
                      </c:pt>
                      <c:pt idx="772">
                        <c:v>0.97360207423580702</c:v>
                      </c:pt>
                      <c:pt idx="773">
                        <c:v>0.96748684210526303</c:v>
                      </c:pt>
                      <c:pt idx="774">
                        <c:v>1.06740116120789</c:v>
                      </c:pt>
                      <c:pt idx="775">
                        <c:v>1.0163504013864799</c:v>
                      </c:pt>
                      <c:pt idx="776">
                        <c:v>1.0056763333333301</c:v>
                      </c:pt>
                      <c:pt idx="777">
                        <c:v>1.0023857888324801</c:v>
                      </c:pt>
                      <c:pt idx="778">
                        <c:v>0.90595255474452496</c:v>
                      </c:pt>
                      <c:pt idx="779">
                        <c:v>1.0035606090908999</c:v>
                      </c:pt>
                      <c:pt idx="780">
                        <c:v>1.0065871268181801</c:v>
                      </c:pt>
                      <c:pt idx="781">
                        <c:v>1.0054121258181801</c:v>
                      </c:pt>
                      <c:pt idx="782">
                        <c:v>1.0051895877499999</c:v>
                      </c:pt>
                      <c:pt idx="783">
                        <c:v>1.0030825643518499</c:v>
                      </c:pt>
                      <c:pt idx="784">
                        <c:v>0.97460925349922201</c:v>
                      </c:pt>
                      <c:pt idx="785">
                        <c:v>1.0057838465489499</c:v>
                      </c:pt>
                      <c:pt idx="786">
                        <c:v>0.97083692528735599</c:v>
                      </c:pt>
                      <c:pt idx="787">
                        <c:v>1.02075835099999</c:v>
                      </c:pt>
                      <c:pt idx="788">
                        <c:v>1.0051899337455801</c:v>
                      </c:pt>
                      <c:pt idx="789">
                        <c:v>1.0087037111111099</c:v>
                      </c:pt>
                      <c:pt idx="790">
                        <c:v>1.0083241561068701</c:v>
                      </c:pt>
                      <c:pt idx="791">
                        <c:v>1.0034795018223199</c:v>
                      </c:pt>
                      <c:pt idx="792">
                        <c:v>0.96306501116071397</c:v>
                      </c:pt>
                      <c:pt idx="793">
                        <c:v>1.0034944267657899</c:v>
                      </c:pt>
                      <c:pt idx="794">
                        <c:v>1.0034482310631201</c:v>
                      </c:pt>
                      <c:pt idx="795">
                        <c:v>1.0058581066155301</c:v>
                      </c:pt>
                      <c:pt idx="796">
                        <c:v>1.00399219807162</c:v>
                      </c:pt>
                      <c:pt idx="797">
                        <c:v>0.947218025662251</c:v>
                      </c:pt>
                      <c:pt idx="798">
                        <c:v>1.00451923461538</c:v>
                      </c:pt>
                      <c:pt idx="799">
                        <c:v>1.00451412813559</c:v>
                      </c:pt>
                      <c:pt idx="800">
                        <c:v>1.00413150843881</c:v>
                      </c:pt>
                      <c:pt idx="801">
                        <c:v>0.95907762096774196</c:v>
                      </c:pt>
                      <c:pt idx="802">
                        <c:v>1.0036833887147301</c:v>
                      </c:pt>
                      <c:pt idx="803">
                        <c:v>1.0029746860759401</c:v>
                      </c:pt>
                      <c:pt idx="804">
                        <c:v>1.00345061315789</c:v>
                      </c:pt>
                      <c:pt idx="805">
                        <c:v>1.0090541</c:v>
                      </c:pt>
                      <c:pt idx="806">
                        <c:v>1.0046272894514701</c:v>
                      </c:pt>
                      <c:pt idx="807">
                        <c:v>1.0182288158264901</c:v>
                      </c:pt>
                      <c:pt idx="808">
                        <c:v>0.96894114077669802</c:v>
                      </c:pt>
                      <c:pt idx="809">
                        <c:v>1.0459915832304501</c:v>
                      </c:pt>
                      <c:pt idx="810">
                        <c:v>1.0025432922077899</c:v>
                      </c:pt>
                      <c:pt idx="811">
                        <c:v>0.97719102443608996</c:v>
                      </c:pt>
                      <c:pt idx="812">
                        <c:v>1.01751139146757</c:v>
                      </c:pt>
                      <c:pt idx="813">
                        <c:v>1.00551643661971</c:v>
                      </c:pt>
                      <c:pt idx="814">
                        <c:v>1.00634544301675</c:v>
                      </c:pt>
                      <c:pt idx="815">
                        <c:v>1.01912820190311</c:v>
                      </c:pt>
                      <c:pt idx="816">
                        <c:v>1.00380787361111</c:v>
                      </c:pt>
                      <c:pt idx="817">
                        <c:v>1.0158551899106001</c:v>
                      </c:pt>
                      <c:pt idx="818">
                        <c:v>4.7402856845714298</c:v>
                      </c:pt>
                      <c:pt idx="819">
                        <c:v>0.97087254213483098</c:v>
                      </c:pt>
                      <c:pt idx="820">
                        <c:v>1.0112523116022001</c:v>
                      </c:pt>
                      <c:pt idx="821">
                        <c:v>0.96209683954619096</c:v>
                      </c:pt>
                      <c:pt idx="822">
                        <c:v>1.0042342378378299</c:v>
                      </c:pt>
                      <c:pt idx="823">
                        <c:v>1.01777329001512</c:v>
                      </c:pt>
                      <c:pt idx="824">
                        <c:v>1.0051564002801101</c:v>
                      </c:pt>
                      <c:pt idx="825">
                        <c:v>1.0165784216560501</c:v>
                      </c:pt>
                      <c:pt idx="826">
                        <c:v>1.0050213717948699</c:v>
                      </c:pt>
                      <c:pt idx="827">
                        <c:v>0.98498363874345496</c:v>
                      </c:pt>
                      <c:pt idx="828">
                        <c:v>0.89274465935334801</c:v>
                      </c:pt>
                      <c:pt idx="829">
                        <c:v>0.96636814024390205</c:v>
                      </c:pt>
                      <c:pt idx="830">
                        <c:v>0.97357947530864197</c:v>
                      </c:pt>
                      <c:pt idx="831">
                        <c:v>1.0049777076923001</c:v>
                      </c:pt>
                      <c:pt idx="832">
                        <c:v>1.0058425464088301</c:v>
                      </c:pt>
                      <c:pt idx="833">
                        <c:v>1.0105179117647001</c:v>
                      </c:pt>
                      <c:pt idx="834">
                        <c:v>1.0109500779870499</c:v>
                      </c:pt>
                      <c:pt idx="835">
                        <c:v>1.0058870193251499</c:v>
                      </c:pt>
                      <c:pt idx="836">
                        <c:v>1.00470000399999</c:v>
                      </c:pt>
                      <c:pt idx="837">
                        <c:v>1.0111091003636301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CDCF-4CE8-B75B-40FB4CDAC5D9}"/>
                  </c:ext>
                </c:extLst>
              </c15:ser>
            </c15:filteredScatterSeries>
          </c:ext>
        </c:extLst>
      </c:scatterChart>
      <c:valAx>
        <c:axId val="14795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20208"/>
        <c:crosses val="autoZero"/>
        <c:crossBetween val="midCat"/>
      </c:valAx>
      <c:valAx>
        <c:axId val="14795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V_pu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3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CYME vs. MC %</a:t>
            </a:r>
            <a:r>
              <a:rPr lang="en-US" baseline="0"/>
              <a:t> Difference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mc_vs_cyme!$J$839:$L$839</c:f>
              <c:strCache>
                <c:ptCount val="3"/>
                <c:pt idx="0">
                  <c:v>A Phase</c:v>
                </c:pt>
                <c:pt idx="1">
                  <c:v>B Phase</c:v>
                </c:pt>
                <c:pt idx="2">
                  <c:v>C Phase</c:v>
                </c:pt>
              </c:strCache>
            </c:strRef>
          </c:cat>
          <c:val>
            <c:numRef>
              <c:f>mc_vs_cyme!$J$840:$L$840</c:f>
              <c:numCache>
                <c:formatCode>0.0%</c:formatCode>
                <c:ptCount val="3"/>
                <c:pt idx="0">
                  <c:v>1.1108333944187303E-2</c:v>
                </c:pt>
                <c:pt idx="1">
                  <c:v>1.6302124712827677E-2</c:v>
                </c:pt>
                <c:pt idx="2">
                  <c:v>1.5004503416281543E-2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0-4683-8C1F-3581CEB85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9637984"/>
        <c:axId val="1119637504"/>
      </c:barChart>
      <c:catAx>
        <c:axId val="11196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37504"/>
        <c:crosses val="autoZero"/>
        <c:auto val="1"/>
        <c:lblAlgn val="ctr"/>
        <c:lblOffset val="100"/>
        <c:noMultiLvlLbl val="0"/>
      </c:catAx>
      <c:valAx>
        <c:axId val="111963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3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Difference Circuit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mc_vs_cyme!$I$846</c:f>
              <c:strCache>
                <c:ptCount val="1"/>
                <c:pt idx="0">
                  <c:v>Circuit Count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mc_vs_cyme!$J$845:$M$845</c:f>
              <c:strCache>
                <c:ptCount val="4"/>
                <c:pt idx="0">
                  <c:v>1%</c:v>
                </c:pt>
                <c:pt idx="1">
                  <c:v>2%</c:v>
                </c:pt>
                <c:pt idx="2">
                  <c:v>3-5%</c:v>
                </c:pt>
                <c:pt idx="3">
                  <c:v>&gt;5%</c:v>
                </c:pt>
              </c:strCache>
            </c:strRef>
          </c:cat>
          <c:val>
            <c:numRef>
              <c:f>mc_vs_cyme!$J$846:$M$846</c:f>
              <c:numCache>
                <c:formatCode>General</c:formatCode>
                <c:ptCount val="4"/>
                <c:pt idx="0">
                  <c:v>350</c:v>
                </c:pt>
                <c:pt idx="1">
                  <c:v>109</c:v>
                </c:pt>
                <c:pt idx="2">
                  <c:v>135</c:v>
                </c:pt>
                <c:pt idx="3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6-4A79-88D3-54100B99CA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19676384"/>
        <c:axId val="1119671584"/>
      </c:barChart>
      <c:catAx>
        <c:axId val="111967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71584"/>
        <c:crosses val="autoZero"/>
        <c:auto val="1"/>
        <c:lblAlgn val="ctr"/>
        <c:lblOffset val="100"/>
        <c:noMultiLvlLbl val="0"/>
      </c:catAx>
      <c:valAx>
        <c:axId val="111967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7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Median Voltage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mc_vs_cyme!$F$1</c:f>
              <c:strCache>
                <c:ptCount val="1"/>
                <c:pt idx="0">
                  <c:v>VB_CYME_mean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hade val="65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shade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hade val="65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mc_vs_cyme!$F$2:$F$884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F1-4901-8E54-9C8FD4BCBD84}"/>
            </c:ext>
          </c:extLst>
        </c:ser>
        <c:ser>
          <c:idx val="1"/>
          <c:order val="1"/>
          <c:tx>
            <c:strRef>
              <c:f>mc_vs_cyme!$G$1</c:f>
              <c:strCache>
                <c:ptCount val="1"/>
                <c:pt idx="0">
                  <c:v>VC_CYME_mean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mc_vs_cyme!$G$2:$G$884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1-4901-8E54-9C8FD4BCBD84}"/>
            </c:ext>
          </c:extLst>
        </c:ser>
        <c:ser>
          <c:idx val="2"/>
          <c:order val="2"/>
          <c:tx>
            <c:strRef>
              <c:f>mc_vs_cyme!$E$1</c:f>
              <c:strCache>
                <c:ptCount val="1"/>
                <c:pt idx="0">
                  <c:v>VA_CYME_mean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tint val="65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tint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tint val="65000"/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mc_vs_cyme!$E$2:$E$884</c:f>
              <c:numCache>
                <c:formatCode>0.00000</c:formatCode>
                <c:ptCount val="883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  <c:pt idx="838">
                  <c:v>1.0049647929577401</c:v>
                </c:pt>
                <c:pt idx="844" formatCode="General">
                  <c:v>0</c:v>
                </c:pt>
                <c:pt idx="845" formatCode="0.0000">
                  <c:v>1.0049647929577401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F1-4901-8E54-9C8FD4BCB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911136"/>
        <c:axId val="1253914496"/>
      </c:scatterChart>
      <c:valAx>
        <c:axId val="12539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14496"/>
        <c:crosses val="autoZero"/>
        <c:crossBetween val="midCat"/>
      </c:valAx>
      <c:valAx>
        <c:axId val="12539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1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847</xdr:row>
      <xdr:rowOff>175260</xdr:rowOff>
    </xdr:from>
    <xdr:to>
      <xdr:col>8</xdr:col>
      <xdr:colOff>792480</xdr:colOff>
      <xdr:row>871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EA51D0-BE19-4258-A48F-1CECA9EED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1051560</xdr:colOff>
      <xdr:row>848</xdr:row>
      <xdr:rowOff>19050</xdr:rowOff>
    </xdr:from>
    <xdr:to>
      <xdr:col>16</xdr:col>
      <xdr:colOff>266700</xdr:colOff>
      <xdr:row>863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D5C07D-B1BD-6827-A188-4B2C7437C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1066800</xdr:colOff>
      <xdr:row>863</xdr:row>
      <xdr:rowOff>152400</xdr:rowOff>
    </xdr:from>
    <xdr:to>
      <xdr:col>16</xdr:col>
      <xdr:colOff>403860</xdr:colOff>
      <xdr:row>871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815732-265F-DBE1-ADDD-220121CA1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873</xdr:row>
      <xdr:rowOff>123825</xdr:rowOff>
    </xdr:from>
    <xdr:to>
      <xdr:col>9</xdr:col>
      <xdr:colOff>312420</xdr:colOff>
      <xdr:row>894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922D69-8E15-44A9-9213-9CC900FFC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EBFC-D529-401C-B64F-4EB365D21BFC}">
  <dimension ref="A1:N884"/>
  <sheetViews>
    <sheetView tabSelected="1" workbookViewId="0">
      <pane ySplit="1" topLeftCell="A846" activePane="bottomLeft" state="frozen"/>
      <selection pane="bottomLeft" activeCell="B878" sqref="B878"/>
    </sheetView>
  </sheetViews>
  <sheetFormatPr defaultRowHeight="14.4" x14ac:dyDescent="0.3"/>
  <cols>
    <col min="1" max="1" width="18.88671875" bestFit="1" customWidth="1"/>
    <col min="2" max="3" width="12" bestFit="1" customWidth="1"/>
    <col min="4" max="4" width="12.109375" bestFit="1" customWidth="1"/>
    <col min="5" max="6" width="14.109375" bestFit="1" customWidth="1"/>
    <col min="7" max="7" width="14.21875" bestFit="1" customWidth="1"/>
    <col min="8" max="8" width="13.88671875" bestFit="1" customWidth="1"/>
    <col min="9" max="9" width="15.88671875" bestFit="1" customWidth="1"/>
    <col min="11" max="11" width="11.21875" bestFit="1" customWidth="1"/>
  </cols>
  <sheetData>
    <row r="1" spans="1:13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3</v>
      </c>
      <c r="I1" s="2" t="s">
        <v>7</v>
      </c>
    </row>
    <row r="2" spans="1:13" x14ac:dyDescent="0.3">
      <c r="A2" t="s">
        <v>9</v>
      </c>
      <c r="B2" s="1">
        <v>0.949925032141132</v>
      </c>
      <c r="C2" s="1">
        <v>0.949001034886223</v>
      </c>
      <c r="D2" s="1">
        <v>0.99082821295141699</v>
      </c>
      <c r="E2" s="1">
        <v>1.00550485121163</v>
      </c>
      <c r="F2" s="1">
        <v>1.00550485121163</v>
      </c>
      <c r="G2" s="1">
        <v>1.00550485121163</v>
      </c>
      <c r="H2">
        <v>719</v>
      </c>
      <c r="I2">
        <v>619</v>
      </c>
      <c r="J2" s="16">
        <f>(E2-B2)/E2</f>
        <v>5.5275535472081042E-2</v>
      </c>
      <c r="K2" s="16">
        <f t="shared" ref="K2:L2" si="0">(F2-C2)/F2</f>
        <v>5.6194474106534748E-2</v>
      </c>
      <c r="L2" s="16">
        <f t="shared" si="0"/>
        <v>1.4596287867261642E-2</v>
      </c>
      <c r="M2" s="16">
        <f>ABS(MEDIAN(J2:L2))</f>
        <v>5.5275535472081042E-2</v>
      </c>
    </row>
    <row r="3" spans="1:13" x14ac:dyDescent="0.3">
      <c r="A3" t="s">
        <v>10</v>
      </c>
      <c r="B3" s="1">
        <v>1.0116744098764101</v>
      </c>
      <c r="C3" s="1">
        <v>1.0906057480229601</v>
      </c>
      <c r="D3" s="1">
        <v>1.0100797246489399</v>
      </c>
      <c r="E3" s="1">
        <v>1.01173431192384</v>
      </c>
      <c r="F3" s="1">
        <v>1.01173431192384</v>
      </c>
      <c r="G3" s="1">
        <v>1.01173431192384</v>
      </c>
      <c r="H3">
        <v>1399</v>
      </c>
      <c r="I3">
        <v>998</v>
      </c>
      <c r="J3" s="16">
        <f t="shared" ref="J3:J66" si="1">(E3-B3)/E3</f>
        <v>5.920729061366769E-5</v>
      </c>
      <c r="K3" s="16">
        <f t="shared" ref="K3:K66" si="2">(F3-C3)/F3</f>
        <v>-7.7956668237478183E-2</v>
      </c>
      <c r="L3" s="16">
        <f t="shared" ref="L3:L66" si="3">(G3-D3)/G3</f>
        <v>1.6353970161927648E-3</v>
      </c>
      <c r="M3" s="16">
        <f t="shared" ref="M3:M66" si="4">ABS(MEDIAN(J3:L3))</f>
        <v>5.920729061366769E-5</v>
      </c>
    </row>
    <row r="4" spans="1:13" x14ac:dyDescent="0.3">
      <c r="A4" t="s">
        <v>11</v>
      </c>
      <c r="B4" s="1">
        <v>0.98987465867400404</v>
      </c>
      <c r="C4" s="1">
        <v>0.977277598466058</v>
      </c>
      <c r="D4" s="1">
        <v>0.989813298940311</v>
      </c>
      <c r="E4" s="1">
        <v>1.0030637799154301</v>
      </c>
      <c r="F4" s="1">
        <v>1.0030637799154301</v>
      </c>
      <c r="G4" s="1">
        <v>1.0030637799154301</v>
      </c>
      <c r="H4">
        <v>479</v>
      </c>
      <c r="I4">
        <v>473</v>
      </c>
      <c r="J4" s="16">
        <f t="shared" si="1"/>
        <v>1.3148836101467059E-2</v>
      </c>
      <c r="K4" s="16">
        <f t="shared" si="2"/>
        <v>2.5707419573604916E-2</v>
      </c>
      <c r="L4" s="16">
        <f t="shared" si="3"/>
        <v>1.3210008416649457E-2</v>
      </c>
      <c r="M4" s="16">
        <f t="shared" si="4"/>
        <v>1.3210008416649457E-2</v>
      </c>
    </row>
    <row r="5" spans="1:13" x14ac:dyDescent="0.3">
      <c r="A5" t="s">
        <v>12</v>
      </c>
      <c r="B5" s="1">
        <v>0.96745966774219405</v>
      </c>
      <c r="C5" s="1">
        <v>0.96502065785920899</v>
      </c>
      <c r="D5" s="1">
        <v>0.97251781787103597</v>
      </c>
      <c r="E5" s="1">
        <v>0.96380272672634204</v>
      </c>
      <c r="F5" s="1">
        <v>0.96380272672634204</v>
      </c>
      <c r="G5" s="1">
        <v>0.96380272672634204</v>
      </c>
      <c r="H5">
        <v>829</v>
      </c>
      <c r="I5">
        <v>782</v>
      </c>
      <c r="J5" s="16">
        <f t="shared" si="1"/>
        <v>-3.7942837413141571E-3</v>
      </c>
      <c r="K5" s="16">
        <f t="shared" si="2"/>
        <v>-1.2636726366232404E-3</v>
      </c>
      <c r="L5" s="16">
        <f t="shared" si="3"/>
        <v>-9.0424014199416737E-3</v>
      </c>
      <c r="M5" s="16">
        <f t="shared" si="4"/>
        <v>3.7942837413141571E-3</v>
      </c>
    </row>
    <row r="6" spans="1:13" x14ac:dyDescent="0.3">
      <c r="A6" t="s">
        <v>13</v>
      </c>
      <c r="B6" s="1">
        <v>1.09004755936644</v>
      </c>
      <c r="C6" s="1">
        <v>1.07276109516878</v>
      </c>
      <c r="D6" s="1">
        <v>1.29276290620597</v>
      </c>
      <c r="E6" s="1">
        <v>1.0048187928469201</v>
      </c>
      <c r="F6" s="1">
        <v>1.0048187928469201</v>
      </c>
      <c r="G6" s="1">
        <v>1.0048187928469201</v>
      </c>
      <c r="H6">
        <v>763</v>
      </c>
      <c r="I6">
        <v>699</v>
      </c>
      <c r="J6" s="16">
        <f t="shared" si="1"/>
        <v>-8.4820036335152602E-2</v>
      </c>
      <c r="K6" s="16">
        <f t="shared" si="2"/>
        <v>-6.7616472547613521E-2</v>
      </c>
      <c r="L6" s="16">
        <f t="shared" si="3"/>
        <v>-0.28656322454243444</v>
      </c>
      <c r="M6" s="16">
        <f t="shared" si="4"/>
        <v>8.4820036335152602E-2</v>
      </c>
    </row>
    <row r="7" spans="1:13" x14ac:dyDescent="0.3">
      <c r="A7" t="s">
        <v>14</v>
      </c>
      <c r="B7" s="1">
        <v>1.0010367876061499</v>
      </c>
      <c r="C7" s="1">
        <v>0.99509662920029396</v>
      </c>
      <c r="D7" s="1">
        <v>0.97930591151372903</v>
      </c>
      <c r="E7" s="1">
        <v>1.0133519957661199</v>
      </c>
      <c r="F7" s="1">
        <v>1.0133519957661199</v>
      </c>
      <c r="G7" s="1">
        <v>1.0133519957661199</v>
      </c>
      <c r="H7">
        <v>510</v>
      </c>
      <c r="I7">
        <v>496</v>
      </c>
      <c r="J7" s="16">
        <f t="shared" si="1"/>
        <v>1.2152942128129321E-2</v>
      </c>
      <c r="K7" s="16">
        <f t="shared" si="2"/>
        <v>1.8014832597259962E-2</v>
      </c>
      <c r="L7" s="16">
        <f t="shared" si="3"/>
        <v>3.3597490698827857E-2</v>
      </c>
      <c r="M7" s="16">
        <f t="shared" si="4"/>
        <v>1.8014832597259962E-2</v>
      </c>
    </row>
    <row r="8" spans="1:13" x14ac:dyDescent="0.3">
      <c r="A8" t="s">
        <v>15</v>
      </c>
      <c r="B8" s="1">
        <v>0.99905912996442203</v>
      </c>
      <c r="C8" s="1">
        <v>1.00384981706461</v>
      </c>
      <c r="D8" s="1">
        <v>1.0115477426597801</v>
      </c>
      <c r="E8" s="1">
        <v>1.02953613117001</v>
      </c>
      <c r="F8" s="1">
        <v>1.02953613117001</v>
      </c>
      <c r="G8" s="1">
        <v>1.02953613117001</v>
      </c>
      <c r="H8">
        <v>1260</v>
      </c>
      <c r="I8">
        <v>1094</v>
      </c>
      <c r="J8" s="16">
        <f t="shared" si="1"/>
        <v>2.9602653353168421E-2</v>
      </c>
      <c r="K8" s="16">
        <f t="shared" si="2"/>
        <v>2.4949405200776157E-2</v>
      </c>
      <c r="L8" s="16">
        <f t="shared" si="3"/>
        <v>1.7472323666569221E-2</v>
      </c>
      <c r="M8" s="16">
        <f t="shared" si="4"/>
        <v>2.4949405200776157E-2</v>
      </c>
    </row>
    <row r="9" spans="1:13" x14ac:dyDescent="0.3">
      <c r="A9" t="s">
        <v>16</v>
      </c>
      <c r="B9" s="1">
        <v>0.99276859569278997</v>
      </c>
      <c r="C9" s="1">
        <v>1.02491293144678</v>
      </c>
      <c r="D9" s="1">
        <v>1.0026570076132499</v>
      </c>
      <c r="E9" s="1">
        <v>1.0023768709762499</v>
      </c>
      <c r="F9" s="1">
        <v>1.0023768709762499</v>
      </c>
      <c r="G9" s="1">
        <v>1.0023768709762499</v>
      </c>
      <c r="H9">
        <v>407</v>
      </c>
      <c r="I9">
        <v>379</v>
      </c>
      <c r="J9" s="16">
        <f t="shared" si="1"/>
        <v>9.5854918061927565E-3</v>
      </c>
      <c r="K9" s="16">
        <f t="shared" si="2"/>
        <v>-2.2482622178404185E-2</v>
      </c>
      <c r="L9" s="16">
        <f t="shared" si="3"/>
        <v>-2.7947236724163419E-4</v>
      </c>
      <c r="M9" s="16">
        <f t="shared" si="4"/>
        <v>2.7947236724163419E-4</v>
      </c>
    </row>
    <row r="10" spans="1:13" x14ac:dyDescent="0.3">
      <c r="A10" t="s">
        <v>17</v>
      </c>
      <c r="B10" s="1">
        <v>0.99646865300169196</v>
      </c>
      <c r="C10" s="1">
        <v>0.99650766108064603</v>
      </c>
      <c r="D10" s="1">
        <v>0.99646457985461701</v>
      </c>
      <c r="E10" s="1">
        <v>1.0291015145251301</v>
      </c>
      <c r="F10" s="1">
        <v>1.0291015145251301</v>
      </c>
      <c r="G10" s="1">
        <v>1.0291015145251301</v>
      </c>
      <c r="H10">
        <v>358</v>
      </c>
      <c r="I10">
        <v>358</v>
      </c>
      <c r="J10" s="16">
        <f t="shared" si="1"/>
        <v>3.1710051013282482E-2</v>
      </c>
      <c r="K10" s="16">
        <f t="shared" si="2"/>
        <v>3.1672146026841888E-2</v>
      </c>
      <c r="L10" s="16">
        <f t="shared" si="3"/>
        <v>3.1714008977601321E-2</v>
      </c>
      <c r="M10" s="16">
        <f t="shared" si="4"/>
        <v>3.1710051013282482E-2</v>
      </c>
    </row>
    <row r="11" spans="1:13" x14ac:dyDescent="0.3">
      <c r="A11" t="s">
        <v>18</v>
      </c>
      <c r="B11" s="1">
        <v>0.99695541129639997</v>
      </c>
      <c r="C11" s="1">
        <v>0.996955411295255</v>
      </c>
      <c r="D11" s="1">
        <v>0.99695541129731502</v>
      </c>
      <c r="E11" s="1">
        <v>1.0064751399193499</v>
      </c>
      <c r="F11" s="1">
        <v>1.0064751399193499</v>
      </c>
      <c r="G11" s="1">
        <v>1.0064751399193499</v>
      </c>
      <c r="H11">
        <v>248</v>
      </c>
      <c r="I11">
        <v>248</v>
      </c>
      <c r="J11" s="16">
        <f t="shared" si="1"/>
        <v>9.4584836180978561E-3</v>
      </c>
      <c r="K11" s="16">
        <f t="shared" si="2"/>
        <v>9.4584836192354634E-3</v>
      </c>
      <c r="L11" s="16">
        <f t="shared" si="3"/>
        <v>9.4584836171886979E-3</v>
      </c>
      <c r="M11" s="16">
        <f t="shared" si="4"/>
        <v>9.4584836180978561E-3</v>
      </c>
    </row>
    <row r="12" spans="1:13" x14ac:dyDescent="0.3">
      <c r="A12" t="s">
        <v>19</v>
      </c>
      <c r="B12" s="1">
        <v>0.93762179288721403</v>
      </c>
      <c r="C12" s="1">
        <v>0.91448698330133604</v>
      </c>
      <c r="D12" s="1">
        <v>0.92067626382657597</v>
      </c>
      <c r="E12" s="1">
        <v>1.0057643500657001</v>
      </c>
      <c r="F12" s="1">
        <v>1.0057643500657001</v>
      </c>
      <c r="G12" s="1">
        <v>1.0057643500657001</v>
      </c>
      <c r="H12">
        <v>1005</v>
      </c>
      <c r="I12">
        <v>761</v>
      </c>
      <c r="J12" s="16">
        <f t="shared" si="1"/>
        <v>6.7752010870175239E-2</v>
      </c>
      <c r="K12" s="16">
        <f t="shared" si="2"/>
        <v>9.0754227626383341E-2</v>
      </c>
      <c r="L12" s="16">
        <f t="shared" si="3"/>
        <v>8.4600419803670571E-2</v>
      </c>
      <c r="M12" s="16">
        <f t="shared" si="4"/>
        <v>8.4600419803670571E-2</v>
      </c>
    </row>
    <row r="13" spans="1:13" x14ac:dyDescent="0.3">
      <c r="A13" t="s">
        <v>20</v>
      </c>
      <c r="B13" s="1">
        <v>1.0072715461596999</v>
      </c>
      <c r="C13" s="1">
        <v>1.0071734943808299</v>
      </c>
      <c r="D13" s="1">
        <v>1.0070966812703099</v>
      </c>
      <c r="E13" s="1">
        <v>1.00438546061776</v>
      </c>
      <c r="F13" s="1">
        <v>1.00438546061776</v>
      </c>
      <c r="G13" s="1">
        <v>1.00438546061776</v>
      </c>
      <c r="H13">
        <v>259</v>
      </c>
      <c r="I13">
        <v>259</v>
      </c>
      <c r="J13" s="16">
        <f t="shared" si="1"/>
        <v>-2.8734839910613567E-3</v>
      </c>
      <c r="K13" s="16">
        <f t="shared" si="2"/>
        <v>-2.7758603368821097E-3</v>
      </c>
      <c r="L13" s="16">
        <f t="shared" si="3"/>
        <v>-2.6993826163934577E-3</v>
      </c>
      <c r="M13" s="16">
        <f t="shared" si="4"/>
        <v>2.7758603368821097E-3</v>
      </c>
    </row>
    <row r="14" spans="1:13" x14ac:dyDescent="0.3">
      <c r="A14" t="s">
        <v>21</v>
      </c>
      <c r="B14" s="1">
        <v>0.98977641163658403</v>
      </c>
      <c r="C14" s="1">
        <v>0.98976033471497704</v>
      </c>
      <c r="D14" s="1">
        <v>0.989753817489471</v>
      </c>
      <c r="E14" s="1">
        <v>1.0062505415701399</v>
      </c>
      <c r="F14" s="1">
        <v>1.0062505415701399</v>
      </c>
      <c r="G14" s="1">
        <v>1.0062505415701399</v>
      </c>
      <c r="H14">
        <v>777</v>
      </c>
      <c r="I14">
        <v>777</v>
      </c>
      <c r="J14" s="16">
        <f t="shared" si="1"/>
        <v>1.6371797333743433E-2</v>
      </c>
      <c r="K14" s="16">
        <f t="shared" si="2"/>
        <v>1.6387774390095526E-2</v>
      </c>
      <c r="L14" s="16">
        <f t="shared" si="3"/>
        <v>1.6394251132454216E-2</v>
      </c>
      <c r="M14" s="16">
        <f t="shared" si="4"/>
        <v>1.6387774390095526E-2</v>
      </c>
    </row>
    <row r="15" spans="1:13" x14ac:dyDescent="0.3">
      <c r="A15" t="s">
        <v>22</v>
      </c>
      <c r="B15" s="1">
        <v>0.99794009216320401</v>
      </c>
      <c r="C15" s="1">
        <v>0.99278165406091601</v>
      </c>
      <c r="D15" s="1">
        <v>0.997940092108622</v>
      </c>
      <c r="E15" s="1">
        <v>1.0032469803108801</v>
      </c>
      <c r="F15" s="1">
        <v>1.0032469803108801</v>
      </c>
      <c r="G15" s="1">
        <v>1.0032469803108801</v>
      </c>
      <c r="H15">
        <v>194</v>
      </c>
      <c r="I15">
        <v>193</v>
      </c>
      <c r="J15" s="16">
        <f t="shared" si="1"/>
        <v>5.289712555159286E-3</v>
      </c>
      <c r="K15" s="16">
        <f t="shared" si="2"/>
        <v>1.0431455519279181E-2</v>
      </c>
      <c r="L15" s="16">
        <f t="shared" si="3"/>
        <v>5.2897126095646377E-3</v>
      </c>
      <c r="M15" s="16">
        <f t="shared" si="4"/>
        <v>5.2897126095646377E-3</v>
      </c>
    </row>
    <row r="16" spans="1:13" x14ac:dyDescent="0.3">
      <c r="A16" t="s">
        <v>23</v>
      </c>
      <c r="B16" s="1">
        <v>0.99887572772654798</v>
      </c>
      <c r="C16" s="1">
        <v>0.99917193082129396</v>
      </c>
      <c r="D16" s="1">
        <v>0.99896468042561004</v>
      </c>
      <c r="E16" s="1">
        <v>1.0028632208275801</v>
      </c>
      <c r="F16" s="1">
        <v>1.0028632208275801</v>
      </c>
      <c r="G16" s="1">
        <v>1.0028632208275801</v>
      </c>
      <c r="H16">
        <v>725</v>
      </c>
      <c r="I16">
        <v>725</v>
      </c>
      <c r="J16" s="16">
        <f t="shared" si="1"/>
        <v>3.976108624007102E-3</v>
      </c>
      <c r="K16" s="16">
        <f t="shared" si="2"/>
        <v>3.6807512027811533E-3</v>
      </c>
      <c r="L16" s="16">
        <f t="shared" si="3"/>
        <v>3.8874098890104634E-3</v>
      </c>
      <c r="M16" s="16">
        <f t="shared" si="4"/>
        <v>3.8874098890104634E-3</v>
      </c>
    </row>
    <row r="17" spans="1:13" x14ac:dyDescent="0.3">
      <c r="A17" t="s">
        <v>24</v>
      </c>
      <c r="B17" s="1">
        <v>1.00030011493878</v>
      </c>
      <c r="C17" s="1">
        <v>1.00050120298448</v>
      </c>
      <c r="D17" s="1">
        <v>1.00063427159484</v>
      </c>
      <c r="E17" s="1">
        <v>1.0040396147982</v>
      </c>
      <c r="F17" s="1">
        <v>1.0040396147982</v>
      </c>
      <c r="G17" s="1">
        <v>1.0040396147982</v>
      </c>
      <c r="H17">
        <v>223</v>
      </c>
      <c r="I17">
        <v>223</v>
      </c>
      <c r="J17" s="16">
        <f t="shared" si="1"/>
        <v>3.7244544979150146E-3</v>
      </c>
      <c r="K17" s="16">
        <f t="shared" si="2"/>
        <v>3.524175502209874E-3</v>
      </c>
      <c r="L17" s="16">
        <f t="shared" si="3"/>
        <v>3.3916422750356213E-3</v>
      </c>
      <c r="M17" s="16">
        <f t="shared" si="4"/>
        <v>3.524175502209874E-3</v>
      </c>
    </row>
    <row r="18" spans="1:13" x14ac:dyDescent="0.3">
      <c r="A18" t="s">
        <v>25</v>
      </c>
      <c r="B18" s="1">
        <v>0.91967767946257895</v>
      </c>
      <c r="C18" s="1">
        <v>0.94123992597665496</v>
      </c>
      <c r="D18" s="1">
        <v>0.886213343283352</v>
      </c>
      <c r="E18" s="1">
        <v>1.0044870588349499</v>
      </c>
      <c r="F18" s="1">
        <v>1.0044870588349499</v>
      </c>
      <c r="G18" s="1">
        <v>1.0044870588349499</v>
      </c>
      <c r="H18">
        <v>691</v>
      </c>
      <c r="I18">
        <v>515</v>
      </c>
      <c r="J18" s="16">
        <f t="shared" si="1"/>
        <v>8.4430534596171683E-2</v>
      </c>
      <c r="K18" s="16">
        <f t="shared" si="2"/>
        <v>6.2964606962335481E-2</v>
      </c>
      <c r="L18" s="16">
        <f t="shared" si="3"/>
        <v>0.11774538508119478</v>
      </c>
      <c r="M18" s="16">
        <f t="shared" si="4"/>
        <v>8.4430534596171683E-2</v>
      </c>
    </row>
    <row r="19" spans="1:13" x14ac:dyDescent="0.3">
      <c r="A19" t="s">
        <v>26</v>
      </c>
      <c r="B19" s="1">
        <v>0.95464405308605904</v>
      </c>
      <c r="C19" s="1">
        <v>0.95958078685836501</v>
      </c>
      <c r="D19" s="1">
        <v>0.96688345459071801</v>
      </c>
      <c r="E19" s="1">
        <v>0.968754917387883</v>
      </c>
      <c r="F19" s="1">
        <v>0.968754917387883</v>
      </c>
      <c r="G19" s="1">
        <v>0.968754917387883</v>
      </c>
      <c r="H19">
        <v>1419</v>
      </c>
      <c r="I19">
        <v>1271</v>
      </c>
      <c r="J19" s="16">
        <f t="shared" si="1"/>
        <v>1.4565979535744705E-2</v>
      </c>
      <c r="K19" s="16">
        <f t="shared" si="2"/>
        <v>9.4700221540601759E-3</v>
      </c>
      <c r="L19" s="16">
        <f t="shared" si="3"/>
        <v>1.9318227588574603E-3</v>
      </c>
      <c r="M19" s="16">
        <f t="shared" si="4"/>
        <v>9.4700221540601759E-3</v>
      </c>
    </row>
    <row r="20" spans="1:13" x14ac:dyDescent="0.3">
      <c r="A20" t="s">
        <v>27</v>
      </c>
      <c r="B20" s="1">
        <v>1.00507293190698</v>
      </c>
      <c r="C20" s="1">
        <v>1.00509316626477</v>
      </c>
      <c r="D20" s="1">
        <v>1.0051271418865499</v>
      </c>
      <c r="E20" s="1">
        <v>1.0027717972307599</v>
      </c>
      <c r="F20" s="1">
        <v>1.0027717972307599</v>
      </c>
      <c r="G20" s="1">
        <v>1.0027717972307599</v>
      </c>
      <c r="H20">
        <v>325</v>
      </c>
      <c r="I20">
        <v>325</v>
      </c>
      <c r="J20" s="16">
        <f t="shared" si="1"/>
        <v>-2.2947740279242422E-3</v>
      </c>
      <c r="K20" s="16">
        <f t="shared" si="2"/>
        <v>-2.3149524552053555E-3</v>
      </c>
      <c r="L20" s="16">
        <f t="shared" si="3"/>
        <v>-2.3488341637593921E-3</v>
      </c>
      <c r="M20" s="16">
        <f t="shared" si="4"/>
        <v>2.3149524552053555E-3</v>
      </c>
    </row>
    <row r="21" spans="1:13" x14ac:dyDescent="0.3">
      <c r="A21" t="s">
        <v>28</v>
      </c>
      <c r="B21" s="1">
        <v>0.997268728286415</v>
      </c>
      <c r="C21" s="1">
        <v>0.99726872827823498</v>
      </c>
      <c r="D21" s="1">
        <v>0.99726872828080204</v>
      </c>
      <c r="E21" s="1">
        <v>0.96837708333333306</v>
      </c>
      <c r="F21" s="1">
        <v>0.96837708333333306</v>
      </c>
      <c r="G21" s="1">
        <v>0.96837708333333306</v>
      </c>
      <c r="H21">
        <v>300</v>
      </c>
      <c r="I21">
        <v>300</v>
      </c>
      <c r="J21" s="16">
        <f t="shared" si="1"/>
        <v>-2.9835118416507291E-2</v>
      </c>
      <c r="K21" s="16">
        <f t="shared" si="2"/>
        <v>-2.9835118408060156E-2</v>
      </c>
      <c r="L21" s="16">
        <f t="shared" si="3"/>
        <v>-2.9835118410711042E-2</v>
      </c>
      <c r="M21" s="16">
        <f t="shared" si="4"/>
        <v>2.9835118410711042E-2</v>
      </c>
    </row>
    <row r="22" spans="1:13" x14ac:dyDescent="0.3">
      <c r="A22" t="s">
        <v>29</v>
      </c>
      <c r="B22" s="1">
        <v>0.93887528896295003</v>
      </c>
      <c r="C22" s="1">
        <v>0.95015526297772701</v>
      </c>
      <c r="D22" s="1">
        <v>0.95664583015563298</v>
      </c>
      <c r="E22" s="1">
        <v>1.0150105330241099</v>
      </c>
      <c r="F22" s="1">
        <v>1.0150105330241099</v>
      </c>
      <c r="G22" s="1">
        <v>1.0150105330241099</v>
      </c>
      <c r="H22">
        <v>617</v>
      </c>
      <c r="I22">
        <v>539</v>
      </c>
      <c r="J22" s="16">
        <f t="shared" si="1"/>
        <v>7.5009314272161773E-2</v>
      </c>
      <c r="K22" s="16">
        <f t="shared" si="2"/>
        <v>6.3896154706054059E-2</v>
      </c>
      <c r="L22" s="16">
        <f t="shared" si="3"/>
        <v>5.7501573599030416E-2</v>
      </c>
      <c r="M22" s="16">
        <f t="shared" si="4"/>
        <v>6.3896154706054059E-2</v>
      </c>
    </row>
    <row r="23" spans="1:13" x14ac:dyDescent="0.3">
      <c r="A23" t="s">
        <v>30</v>
      </c>
      <c r="B23" s="1">
        <v>1.0122987086191999</v>
      </c>
      <c r="C23" s="1">
        <v>1.0124422495046601</v>
      </c>
      <c r="D23" s="1">
        <v>1.0122546543425699</v>
      </c>
      <c r="E23" s="1">
        <v>1.00319344796163</v>
      </c>
      <c r="F23" s="1">
        <v>1.00319344796163</v>
      </c>
      <c r="G23" s="1">
        <v>1.00319344796163</v>
      </c>
      <c r="H23">
        <v>417</v>
      </c>
      <c r="I23">
        <v>417</v>
      </c>
      <c r="J23" s="16">
        <f t="shared" si="1"/>
        <v>-9.0762760423432794E-3</v>
      </c>
      <c r="K23" s="16">
        <f t="shared" si="2"/>
        <v>-9.2193599966412867E-3</v>
      </c>
      <c r="L23" s="16">
        <f t="shared" si="3"/>
        <v>-9.0323620029129723E-3</v>
      </c>
      <c r="M23" s="16">
        <f t="shared" si="4"/>
        <v>9.0762760423432794E-3</v>
      </c>
    </row>
    <row r="24" spans="1:13" x14ac:dyDescent="0.3">
      <c r="A24" t="s">
        <v>31</v>
      </c>
      <c r="B24" s="1">
        <v>0.966750844623815</v>
      </c>
      <c r="C24" s="1">
        <v>0.96922067312346005</v>
      </c>
      <c r="D24" s="1">
        <v>0.97169114374454202</v>
      </c>
      <c r="E24" s="1">
        <v>0.95115516169154202</v>
      </c>
      <c r="F24" s="1">
        <v>0.95115516169154202</v>
      </c>
      <c r="G24" s="1">
        <v>0.95115516169154202</v>
      </c>
      <c r="H24">
        <v>810</v>
      </c>
      <c r="I24">
        <v>804</v>
      </c>
      <c r="J24" s="16">
        <f t="shared" si="1"/>
        <v>-1.639657078087816E-2</v>
      </c>
      <c r="K24" s="16">
        <f t="shared" si="2"/>
        <v>-1.8993232817861371E-2</v>
      </c>
      <c r="L24" s="16">
        <f t="shared" si="3"/>
        <v>-2.1590569951256581E-2</v>
      </c>
      <c r="M24" s="16">
        <f t="shared" si="4"/>
        <v>1.8993232817861371E-2</v>
      </c>
    </row>
    <row r="25" spans="1:13" x14ac:dyDescent="0.3">
      <c r="A25" t="s">
        <v>32</v>
      </c>
      <c r="B25" s="1">
        <v>1.5891423088782</v>
      </c>
      <c r="C25" s="1">
        <v>1.3417129567691899</v>
      </c>
      <c r="D25" s="1">
        <v>1.09419027909306</v>
      </c>
      <c r="E25" s="1">
        <v>1.00390852723492</v>
      </c>
      <c r="F25" s="1">
        <v>1.00390852723492</v>
      </c>
      <c r="G25" s="1">
        <v>1.00390852723492</v>
      </c>
      <c r="H25">
        <v>1328</v>
      </c>
      <c r="I25">
        <v>962</v>
      </c>
      <c r="J25" s="16">
        <f t="shared" si="1"/>
        <v>-0.58295528503498029</v>
      </c>
      <c r="K25" s="16">
        <f t="shared" si="2"/>
        <v>-0.33648925212806952</v>
      </c>
      <c r="L25" s="16">
        <f t="shared" si="3"/>
        <v>-8.9930256999414468E-2</v>
      </c>
      <c r="M25" s="16">
        <f t="shared" si="4"/>
        <v>0.33648925212806952</v>
      </c>
    </row>
    <row r="26" spans="1:13" x14ac:dyDescent="0.3">
      <c r="A26" t="s">
        <v>33</v>
      </c>
      <c r="B26" s="1">
        <v>0.94638895501845299</v>
      </c>
      <c r="C26" s="1">
        <v>0.95245979080652599</v>
      </c>
      <c r="D26" s="1">
        <v>0.95572116006344199</v>
      </c>
      <c r="E26" s="1">
        <v>0.96858839817968201</v>
      </c>
      <c r="F26" s="1">
        <v>0.96858839817968201</v>
      </c>
      <c r="G26" s="1">
        <v>0.96858839817968201</v>
      </c>
      <c r="H26">
        <v>1759</v>
      </c>
      <c r="I26">
        <v>1703</v>
      </c>
      <c r="J26" s="16">
        <f t="shared" si="1"/>
        <v>2.2919377521917018E-2</v>
      </c>
      <c r="K26" s="16">
        <f t="shared" si="2"/>
        <v>1.6651662773854554E-2</v>
      </c>
      <c r="L26" s="16">
        <f t="shared" si="3"/>
        <v>1.3284526368911793E-2</v>
      </c>
      <c r="M26" s="16">
        <f t="shared" si="4"/>
        <v>1.6651662773854554E-2</v>
      </c>
    </row>
    <row r="27" spans="1:13" x14ac:dyDescent="0.3">
      <c r="A27" t="s">
        <v>34</v>
      </c>
      <c r="B27" s="1">
        <v>0.99663387011536597</v>
      </c>
      <c r="C27" s="1">
        <v>0.99011531043192602</v>
      </c>
      <c r="D27" s="1">
        <v>0.99615804338795699</v>
      </c>
      <c r="E27" s="1">
        <v>1.0194179899879301</v>
      </c>
      <c r="F27" s="1">
        <v>1.0194179899879301</v>
      </c>
      <c r="G27" s="1">
        <v>1.0194179899879301</v>
      </c>
      <c r="H27">
        <v>864</v>
      </c>
      <c r="I27">
        <v>829</v>
      </c>
      <c r="J27" s="16">
        <f t="shared" si="1"/>
        <v>2.2350125362054763E-2</v>
      </c>
      <c r="K27" s="16">
        <f t="shared" si="2"/>
        <v>2.8744518778161858E-2</v>
      </c>
      <c r="L27" s="16">
        <f t="shared" si="3"/>
        <v>2.2816888487762022E-2</v>
      </c>
      <c r="M27" s="16">
        <f t="shared" si="4"/>
        <v>2.2816888487762022E-2</v>
      </c>
    </row>
    <row r="28" spans="1:13" x14ac:dyDescent="0.3">
      <c r="A28" t="s">
        <v>35</v>
      </c>
      <c r="B28" s="1">
        <v>0.97587616118402198</v>
      </c>
      <c r="C28" s="1">
        <v>0.97170397260457897</v>
      </c>
      <c r="D28" s="1">
        <v>0.97450925566427404</v>
      </c>
      <c r="E28" s="1">
        <v>1.0073962866952699</v>
      </c>
      <c r="F28" s="1">
        <v>1.0073962866952699</v>
      </c>
      <c r="G28" s="1">
        <v>1.0073962866952699</v>
      </c>
      <c r="H28">
        <v>721</v>
      </c>
      <c r="I28">
        <v>699</v>
      </c>
      <c r="J28" s="16">
        <f t="shared" si="1"/>
        <v>3.1288705276697679E-2</v>
      </c>
      <c r="K28" s="16">
        <f t="shared" si="2"/>
        <v>3.5430261717341059E-2</v>
      </c>
      <c r="L28" s="16">
        <f t="shared" si="3"/>
        <v>3.2645574998971555E-2</v>
      </c>
      <c r="M28" s="16">
        <f t="shared" si="4"/>
        <v>3.2645574998971555E-2</v>
      </c>
    </row>
    <row r="29" spans="1:13" x14ac:dyDescent="0.3">
      <c r="A29" t="s">
        <v>36</v>
      </c>
      <c r="B29" s="1">
        <v>0.98721425147995101</v>
      </c>
      <c r="C29" s="1">
        <v>0.98429196949230802</v>
      </c>
      <c r="D29" s="1">
        <v>0.98501954936700598</v>
      </c>
      <c r="E29" s="1">
        <v>1.0139650461131999</v>
      </c>
      <c r="F29" s="1">
        <v>1.0139650461131999</v>
      </c>
      <c r="G29" s="1">
        <v>1.0139650461131999</v>
      </c>
      <c r="H29">
        <v>1353</v>
      </c>
      <c r="I29">
        <v>1325</v>
      </c>
      <c r="J29" s="16">
        <f t="shared" si="1"/>
        <v>2.6382363707498493E-2</v>
      </c>
      <c r="K29" s="16">
        <f t="shared" si="2"/>
        <v>2.9264397953989416E-2</v>
      </c>
      <c r="L29" s="16">
        <f t="shared" si="3"/>
        <v>2.854683882560825E-2</v>
      </c>
      <c r="M29" s="16">
        <f t="shared" si="4"/>
        <v>2.854683882560825E-2</v>
      </c>
    </row>
    <row r="30" spans="1:13" x14ac:dyDescent="0.3">
      <c r="A30" t="s">
        <v>37</v>
      </c>
      <c r="B30" s="1">
        <v>0.88857130900513004</v>
      </c>
      <c r="C30" s="1">
        <v>0.971137637445465</v>
      </c>
      <c r="D30" s="1">
        <v>0.929022575856286</v>
      </c>
      <c r="E30" s="1">
        <v>1.0112309605166001</v>
      </c>
      <c r="F30" s="1">
        <v>1.0112309605166001</v>
      </c>
      <c r="G30" s="1">
        <v>1.0112309605166001</v>
      </c>
      <c r="H30">
        <v>678</v>
      </c>
      <c r="I30">
        <v>542</v>
      </c>
      <c r="J30" s="16">
        <f t="shared" si="1"/>
        <v>0.12129736558778603</v>
      </c>
      <c r="K30" s="16">
        <f t="shared" si="2"/>
        <v>3.9648037527107487E-2</v>
      </c>
      <c r="L30" s="16">
        <f t="shared" si="3"/>
        <v>8.1295359685503416E-2</v>
      </c>
      <c r="M30" s="16">
        <f t="shared" si="4"/>
        <v>8.1295359685503416E-2</v>
      </c>
    </row>
    <row r="31" spans="1:13" x14ac:dyDescent="0.3">
      <c r="A31" t="s">
        <v>38</v>
      </c>
      <c r="B31" s="1">
        <v>0.991768675471567</v>
      </c>
      <c r="C31" s="1">
        <v>0.99116048673836898</v>
      </c>
      <c r="D31" s="1">
        <v>0.99352551532108901</v>
      </c>
      <c r="E31" s="1">
        <v>0.84959768408550995</v>
      </c>
      <c r="F31" s="1">
        <v>0.84959768408550995</v>
      </c>
      <c r="G31" s="1">
        <v>0.84959768408550995</v>
      </c>
      <c r="H31">
        <v>423</v>
      </c>
      <c r="I31">
        <v>421</v>
      </c>
      <c r="J31" s="16">
        <f t="shared" si="1"/>
        <v>-0.1673391936550381</v>
      </c>
      <c r="K31" s="16">
        <f t="shared" si="2"/>
        <v>-0.16662333867498053</v>
      </c>
      <c r="L31" s="16">
        <f t="shared" si="3"/>
        <v>-0.16940704280579591</v>
      </c>
      <c r="M31" s="16">
        <f t="shared" si="4"/>
        <v>0.1673391936550381</v>
      </c>
    </row>
    <row r="32" spans="1:13" x14ac:dyDescent="0.3">
      <c r="A32" t="s">
        <v>39</v>
      </c>
      <c r="B32" s="1">
        <v>0.93337054757635296</v>
      </c>
      <c r="C32" s="1">
        <v>0.950101601175251</v>
      </c>
      <c r="D32" s="1">
        <v>0.94051956771815504</v>
      </c>
      <c r="E32" s="1">
        <v>1.00341570058139</v>
      </c>
      <c r="F32" s="1">
        <v>1.00341570058139</v>
      </c>
      <c r="G32" s="1">
        <v>1.00341570058139</v>
      </c>
      <c r="H32">
        <v>418</v>
      </c>
      <c r="I32">
        <v>344</v>
      </c>
      <c r="J32" s="16">
        <f t="shared" si="1"/>
        <v>6.9806714170858666E-2</v>
      </c>
      <c r="K32" s="16">
        <f t="shared" si="2"/>
        <v>5.3132614304568081E-2</v>
      </c>
      <c r="L32" s="16">
        <f t="shared" si="3"/>
        <v>6.2682029817544435E-2</v>
      </c>
      <c r="M32" s="16">
        <f t="shared" si="4"/>
        <v>6.2682029817544435E-2</v>
      </c>
    </row>
    <row r="33" spans="1:13" x14ac:dyDescent="0.3">
      <c r="A33" t="s">
        <v>40</v>
      </c>
      <c r="B33" s="1">
        <v>0.99382419886545403</v>
      </c>
      <c r="C33" s="1">
        <v>0.99381557656276298</v>
      </c>
      <c r="D33" s="1">
        <v>0.99382341308928202</v>
      </c>
      <c r="E33" s="1">
        <v>1.0066207055160099</v>
      </c>
      <c r="F33" s="1">
        <v>1.0066207055160099</v>
      </c>
      <c r="G33" s="1">
        <v>1.0066207055160099</v>
      </c>
      <c r="H33">
        <v>562</v>
      </c>
      <c r="I33">
        <v>562</v>
      </c>
      <c r="J33" s="16">
        <f t="shared" si="1"/>
        <v>1.2712341977901376E-2</v>
      </c>
      <c r="K33" s="16">
        <f t="shared" si="2"/>
        <v>1.2720907570327405E-2</v>
      </c>
      <c r="L33" s="16">
        <f t="shared" si="3"/>
        <v>1.2713122585897728E-2</v>
      </c>
      <c r="M33" s="16">
        <f t="shared" si="4"/>
        <v>1.2713122585897728E-2</v>
      </c>
    </row>
    <row r="34" spans="1:13" x14ac:dyDescent="0.3">
      <c r="A34" t="s">
        <v>41</v>
      </c>
      <c r="B34" s="1">
        <v>0.97584974338850095</v>
      </c>
      <c r="C34" s="1">
        <v>0.97584776253965</v>
      </c>
      <c r="D34" s="1">
        <v>0.97584936978772896</v>
      </c>
      <c r="E34" s="1">
        <v>1.0074386368217001</v>
      </c>
      <c r="F34" s="1">
        <v>1.0074386368217001</v>
      </c>
      <c r="G34" s="1">
        <v>1.0074386368217001</v>
      </c>
      <c r="H34">
        <v>516</v>
      </c>
      <c r="I34">
        <v>516</v>
      </c>
      <c r="J34" s="16">
        <f t="shared" si="1"/>
        <v>3.1355650139503095E-2</v>
      </c>
      <c r="K34" s="16">
        <f t="shared" si="2"/>
        <v>3.1357616362336478E-2</v>
      </c>
      <c r="L34" s="16">
        <f t="shared" si="3"/>
        <v>3.1356020981714555E-2</v>
      </c>
      <c r="M34" s="16">
        <f t="shared" si="4"/>
        <v>3.1356020981714555E-2</v>
      </c>
    </row>
    <row r="35" spans="1:13" x14ac:dyDescent="0.3">
      <c r="A35" t="s">
        <v>42</v>
      </c>
      <c r="B35" s="1">
        <v>0.97563185885623405</v>
      </c>
      <c r="C35" s="1">
        <v>0.96341493783628596</v>
      </c>
      <c r="D35" s="1">
        <v>0.959482898590028</v>
      </c>
      <c r="E35" s="1">
        <v>0.97560657248157201</v>
      </c>
      <c r="F35" s="1">
        <v>0.97560657248157201</v>
      </c>
      <c r="G35" s="1">
        <v>0.97560657248157201</v>
      </c>
      <c r="H35">
        <v>906</v>
      </c>
      <c r="I35">
        <v>814</v>
      </c>
      <c r="J35" s="16">
        <f t="shared" si="1"/>
        <v>-2.5918618606389615E-5</v>
      </c>
      <c r="K35" s="16">
        <f t="shared" si="2"/>
        <v>1.2496466289966838E-2</v>
      </c>
      <c r="L35" s="16">
        <f t="shared" si="3"/>
        <v>1.6526819669256142E-2</v>
      </c>
      <c r="M35" s="16">
        <f t="shared" si="4"/>
        <v>1.2496466289966838E-2</v>
      </c>
    </row>
    <row r="36" spans="1:13" x14ac:dyDescent="0.3">
      <c r="A36" t="s">
        <v>43</v>
      </c>
      <c r="B36" s="1">
        <v>0.97113404657281899</v>
      </c>
      <c r="C36" s="1">
        <v>0.948390013617046</v>
      </c>
      <c r="D36" s="1">
        <v>0.95823091219044798</v>
      </c>
      <c r="E36" s="1">
        <v>1.0240222426666601</v>
      </c>
      <c r="F36" s="1">
        <v>1.0240222426666601</v>
      </c>
      <c r="G36" s="1">
        <v>1.0240222426666601</v>
      </c>
      <c r="H36">
        <v>1232</v>
      </c>
      <c r="I36">
        <v>1125</v>
      </c>
      <c r="J36" s="16">
        <f t="shared" si="1"/>
        <v>5.1647507144097528E-2</v>
      </c>
      <c r="K36" s="16">
        <f t="shared" si="2"/>
        <v>7.3857994385610137E-2</v>
      </c>
      <c r="L36" s="16">
        <f t="shared" si="3"/>
        <v>6.4247950615686486E-2</v>
      </c>
      <c r="M36" s="16">
        <f t="shared" si="4"/>
        <v>6.4247950615686486E-2</v>
      </c>
    </row>
    <row r="37" spans="1:13" x14ac:dyDescent="0.3">
      <c r="A37" t="s">
        <v>44</v>
      </c>
      <c r="B37" s="1">
        <v>0.95773748831233496</v>
      </c>
      <c r="C37" s="1">
        <v>0.96096449372404602</v>
      </c>
      <c r="D37" s="1">
        <v>0.97139092931702198</v>
      </c>
      <c r="E37" s="1">
        <v>0.82262120020964302</v>
      </c>
      <c r="F37" s="1">
        <v>0.82262120020964302</v>
      </c>
      <c r="G37" s="1">
        <v>0.82262120020964302</v>
      </c>
      <c r="H37">
        <v>1062</v>
      </c>
      <c r="I37">
        <v>954</v>
      </c>
      <c r="J37" s="16">
        <f t="shared" si="1"/>
        <v>-0.1642509189749278</v>
      </c>
      <c r="K37" s="16">
        <f t="shared" si="2"/>
        <v>-0.16817375175736601</v>
      </c>
      <c r="L37" s="16">
        <f t="shared" si="3"/>
        <v>-0.18084840151149198</v>
      </c>
      <c r="M37" s="16">
        <f t="shared" si="4"/>
        <v>0.16817375175736601</v>
      </c>
    </row>
    <row r="38" spans="1:13" x14ac:dyDescent="0.3">
      <c r="A38" t="s">
        <v>45</v>
      </c>
      <c r="B38" s="1">
        <v>0.986878859141325</v>
      </c>
      <c r="C38" s="1">
        <v>0.98955554025298698</v>
      </c>
      <c r="D38" s="1">
        <v>0.95176304525170496</v>
      </c>
      <c r="E38" s="1">
        <v>1.00464689661016</v>
      </c>
      <c r="F38" s="1">
        <v>1.00464689661016</v>
      </c>
      <c r="G38" s="1">
        <v>1.00464689661016</v>
      </c>
      <c r="H38">
        <v>369</v>
      </c>
      <c r="I38">
        <v>354</v>
      </c>
      <c r="J38" s="16">
        <f t="shared" si="1"/>
        <v>1.7685853137841018E-2</v>
      </c>
      <c r="K38" s="16">
        <f t="shared" si="2"/>
        <v>1.5021552754598386E-2</v>
      </c>
      <c r="L38" s="16">
        <f t="shared" si="3"/>
        <v>5.2639242242118786E-2</v>
      </c>
      <c r="M38" s="16">
        <f t="shared" si="4"/>
        <v>1.7685853137841018E-2</v>
      </c>
    </row>
    <row r="39" spans="1:13" x14ac:dyDescent="0.3">
      <c r="A39" t="s">
        <v>46</v>
      </c>
      <c r="B39" s="1">
        <v>0.96334448882899504</v>
      </c>
      <c r="C39" s="1">
        <v>0.95789799992597402</v>
      </c>
      <c r="D39" s="1">
        <v>0.96198475709665898</v>
      </c>
      <c r="E39" s="1">
        <v>1.0318071800872</v>
      </c>
      <c r="F39" s="1">
        <v>1.0318071800872</v>
      </c>
      <c r="G39" s="1">
        <v>1.0318071800872</v>
      </c>
      <c r="H39">
        <v>738</v>
      </c>
      <c r="I39">
        <v>688</v>
      </c>
      <c r="J39" s="16">
        <f t="shared" si="1"/>
        <v>6.6352214424810471E-2</v>
      </c>
      <c r="K39" s="16">
        <f t="shared" si="2"/>
        <v>7.163080620836515E-2</v>
      </c>
      <c r="L39" s="16">
        <f t="shared" si="3"/>
        <v>6.7670030154897892E-2</v>
      </c>
      <c r="M39" s="16">
        <f t="shared" si="4"/>
        <v>6.7670030154897892E-2</v>
      </c>
    </row>
    <row r="40" spans="1:13" x14ac:dyDescent="0.3">
      <c r="A40" t="s">
        <v>47</v>
      </c>
      <c r="B40" s="1">
        <v>0.98284452043188697</v>
      </c>
      <c r="C40" s="1">
        <v>0.97285705024763902</v>
      </c>
      <c r="D40" s="1">
        <v>0.97658466103466901</v>
      </c>
      <c r="E40" s="1">
        <v>1.0302490554980499</v>
      </c>
      <c r="F40" s="1">
        <v>1.0302490554980499</v>
      </c>
      <c r="G40" s="1">
        <v>1.0302490554980499</v>
      </c>
      <c r="H40">
        <v>804</v>
      </c>
      <c r="I40">
        <v>773</v>
      </c>
      <c r="J40" s="16">
        <f t="shared" si="1"/>
        <v>4.6012694516129708E-2</v>
      </c>
      <c r="K40" s="16">
        <f t="shared" si="2"/>
        <v>5.5706923431893908E-2</v>
      </c>
      <c r="L40" s="16">
        <f t="shared" si="3"/>
        <v>5.2088758710327664E-2</v>
      </c>
      <c r="M40" s="16">
        <f t="shared" si="4"/>
        <v>5.2088758710327664E-2</v>
      </c>
    </row>
    <row r="41" spans="1:13" x14ac:dyDescent="0.3">
      <c r="A41" t="s">
        <v>48</v>
      </c>
      <c r="B41" s="1">
        <v>0.96636445446497998</v>
      </c>
      <c r="C41" s="1">
        <v>0.95458390859812103</v>
      </c>
      <c r="D41" s="1">
        <v>0.94698130761779897</v>
      </c>
      <c r="E41" s="1">
        <v>1.0038308070826301</v>
      </c>
      <c r="F41" s="1">
        <v>1.0038308070826301</v>
      </c>
      <c r="G41" s="1">
        <v>1.0038308070826301</v>
      </c>
      <c r="H41">
        <v>671</v>
      </c>
      <c r="I41">
        <v>593</v>
      </c>
      <c r="J41" s="16">
        <f t="shared" si="1"/>
        <v>3.7323373972289381E-2</v>
      </c>
      <c r="K41" s="16">
        <f t="shared" si="2"/>
        <v>4.9058963061347133E-2</v>
      </c>
      <c r="L41" s="16">
        <f t="shared" si="3"/>
        <v>5.6632551087019527E-2</v>
      </c>
      <c r="M41" s="16">
        <f t="shared" si="4"/>
        <v>4.9058963061347133E-2</v>
      </c>
    </row>
    <row r="42" spans="1:13" x14ac:dyDescent="0.3">
      <c r="A42" t="s">
        <v>49</v>
      </c>
      <c r="B42" s="1">
        <v>0.977069671353057</v>
      </c>
      <c r="C42" s="1">
        <v>0.96290223058546198</v>
      </c>
      <c r="D42" s="1">
        <v>0.96289214716823002</v>
      </c>
      <c r="E42" s="1">
        <v>0.97024267711171597</v>
      </c>
      <c r="F42" s="1">
        <v>0.97024267711171597</v>
      </c>
      <c r="G42" s="1">
        <v>0.97024267711171597</v>
      </c>
      <c r="H42">
        <v>777</v>
      </c>
      <c r="I42">
        <v>734</v>
      </c>
      <c r="J42" s="16">
        <f t="shared" si="1"/>
        <v>-7.0363780138635954E-3</v>
      </c>
      <c r="K42" s="16">
        <f t="shared" si="2"/>
        <v>7.5655778697609173E-3</v>
      </c>
      <c r="L42" s="16">
        <f t="shared" si="3"/>
        <v>7.5759705451913387E-3</v>
      </c>
      <c r="M42" s="16">
        <f t="shared" si="4"/>
        <v>7.5655778697609173E-3</v>
      </c>
    </row>
    <row r="43" spans="1:13" x14ac:dyDescent="0.3">
      <c r="A43" t="s">
        <v>50</v>
      </c>
      <c r="B43" s="1">
        <v>0.99375158208484904</v>
      </c>
      <c r="C43" s="1">
        <v>0.99065045462881096</v>
      </c>
      <c r="D43" s="1">
        <v>0.99375158211963699</v>
      </c>
      <c r="E43" s="1">
        <v>1.0060817857142801</v>
      </c>
      <c r="F43" s="1">
        <v>1.0060817857142801</v>
      </c>
      <c r="G43" s="1">
        <v>1.0060817857142801</v>
      </c>
      <c r="H43">
        <v>323</v>
      </c>
      <c r="I43">
        <v>322</v>
      </c>
      <c r="J43" s="16">
        <f t="shared" si="1"/>
        <v>1.2255667287204754E-2</v>
      </c>
      <c r="K43" s="16">
        <f t="shared" si="2"/>
        <v>1.5338048362055837E-2</v>
      </c>
      <c r="L43" s="16">
        <f t="shared" si="3"/>
        <v>1.2255667252627099E-2</v>
      </c>
      <c r="M43" s="16">
        <f t="shared" si="4"/>
        <v>1.2255667287204754E-2</v>
      </c>
    </row>
    <row r="44" spans="1:13" x14ac:dyDescent="0.3">
      <c r="A44" t="s">
        <v>51</v>
      </c>
      <c r="B44" s="1">
        <v>0.99819422248874001</v>
      </c>
      <c r="C44" s="1">
        <v>0.99819268939668104</v>
      </c>
      <c r="D44" s="1">
        <v>0.98930374795712395</v>
      </c>
      <c r="E44" s="1">
        <v>1.0019319896860901</v>
      </c>
      <c r="F44" s="1">
        <v>1.0019319896860901</v>
      </c>
      <c r="G44" s="1">
        <v>1.0019319896860901</v>
      </c>
      <c r="H44">
        <v>225</v>
      </c>
      <c r="I44">
        <v>223</v>
      </c>
      <c r="J44" s="16">
        <f t="shared" si="1"/>
        <v>3.7305597943041455E-3</v>
      </c>
      <c r="K44" s="16">
        <f t="shared" si="2"/>
        <v>3.7320899301564302E-3</v>
      </c>
      <c r="L44" s="16">
        <f t="shared" si="3"/>
        <v>1.2603891141276601E-2</v>
      </c>
      <c r="M44" s="16">
        <f t="shared" si="4"/>
        <v>3.7320899301564302E-3</v>
      </c>
    </row>
    <row r="45" spans="1:13" x14ac:dyDescent="0.3">
      <c r="A45" t="s">
        <v>52</v>
      </c>
      <c r="B45" s="1">
        <v>1.0607049839796601</v>
      </c>
      <c r="C45" s="1">
        <v>1.05206770340206</v>
      </c>
      <c r="D45" s="1">
        <v>1.0604035225803701</v>
      </c>
      <c r="E45" s="1">
        <v>1.03885083951612</v>
      </c>
      <c r="F45" s="1">
        <v>1.03885083951612</v>
      </c>
      <c r="G45" s="1">
        <v>1.03885083951612</v>
      </c>
      <c r="H45">
        <v>125</v>
      </c>
      <c r="I45">
        <v>124</v>
      </c>
      <c r="J45" s="16">
        <f t="shared" si="1"/>
        <v>-2.1036845360513323E-2</v>
      </c>
      <c r="K45" s="16">
        <f t="shared" si="2"/>
        <v>-1.272258093577343E-2</v>
      </c>
      <c r="L45" s="16">
        <f t="shared" si="3"/>
        <v>-2.0746657984402225E-2</v>
      </c>
      <c r="M45" s="16">
        <f t="shared" si="4"/>
        <v>2.0746657984402225E-2</v>
      </c>
    </row>
    <row r="46" spans="1:13" x14ac:dyDescent="0.3">
      <c r="A46" t="s">
        <v>53</v>
      </c>
      <c r="B46" s="1">
        <v>0.99501136920186195</v>
      </c>
      <c r="C46" s="1">
        <v>0.96529449577745696</v>
      </c>
      <c r="D46" s="1">
        <v>0.99520805799473799</v>
      </c>
      <c r="E46" s="1">
        <v>1.00438522868098</v>
      </c>
      <c r="F46" s="1">
        <v>1.00438522868098</v>
      </c>
      <c r="G46" s="1">
        <v>1.00438522868098</v>
      </c>
      <c r="H46">
        <v>672</v>
      </c>
      <c r="I46">
        <v>652</v>
      </c>
      <c r="J46" s="16">
        <f t="shared" si="1"/>
        <v>9.3329324361215334E-3</v>
      </c>
      <c r="K46" s="16">
        <f t="shared" si="2"/>
        <v>3.892005954215335E-2</v>
      </c>
      <c r="L46" s="16">
        <f t="shared" si="3"/>
        <v>9.1371024027245406E-3</v>
      </c>
      <c r="M46" s="16">
        <f t="shared" si="4"/>
        <v>9.3329324361215334E-3</v>
      </c>
    </row>
    <row r="47" spans="1:13" x14ac:dyDescent="0.3">
      <c r="A47" t="s">
        <v>54</v>
      </c>
      <c r="B47" s="1">
        <v>1.2570105273838399</v>
      </c>
      <c r="C47" s="1">
        <v>1.19693175845454</v>
      </c>
      <c r="D47" s="1">
        <v>1.14698791968105</v>
      </c>
      <c r="E47" s="1">
        <v>1.0257697391589999</v>
      </c>
      <c r="F47" s="1">
        <v>1.0257697391589999</v>
      </c>
      <c r="G47" s="1">
        <v>1.0257697391589999</v>
      </c>
      <c r="H47">
        <v>821</v>
      </c>
      <c r="I47">
        <v>761</v>
      </c>
      <c r="J47" s="16">
        <f t="shared" si="1"/>
        <v>-0.22543147784260806</v>
      </c>
      <c r="K47" s="16">
        <f t="shared" si="2"/>
        <v>-0.16686202834943353</v>
      </c>
      <c r="L47" s="16">
        <f t="shared" si="3"/>
        <v>-0.11817289582107719</v>
      </c>
      <c r="M47" s="16">
        <f t="shared" si="4"/>
        <v>0.16686202834943353</v>
      </c>
    </row>
    <row r="48" spans="1:13" x14ac:dyDescent="0.3">
      <c r="A48" t="s">
        <v>55</v>
      </c>
      <c r="B48" s="1">
        <v>1.29776698643037</v>
      </c>
      <c r="C48" s="1">
        <v>0.98487627258428601</v>
      </c>
      <c r="D48" s="1">
        <v>0.99833333788652501</v>
      </c>
      <c r="E48" s="1">
        <v>1.0029066196660399</v>
      </c>
      <c r="F48" s="1">
        <v>1.0029066196660399</v>
      </c>
      <c r="G48" s="1">
        <v>1.0029066196660399</v>
      </c>
      <c r="H48">
        <v>594</v>
      </c>
      <c r="I48">
        <v>539</v>
      </c>
      <c r="J48" s="16">
        <f t="shared" si="1"/>
        <v>-0.29400580371332713</v>
      </c>
      <c r="K48" s="16">
        <f t="shared" si="2"/>
        <v>1.7978091607130729E-2</v>
      </c>
      <c r="L48" s="16">
        <f t="shared" si="3"/>
        <v>4.5600275138653976E-3</v>
      </c>
      <c r="M48" s="16">
        <f t="shared" si="4"/>
        <v>4.5600275138653976E-3</v>
      </c>
    </row>
    <row r="49" spans="1:13" x14ac:dyDescent="0.3">
      <c r="A49" t="s">
        <v>56</v>
      </c>
      <c r="B49" s="1"/>
      <c r="C49" s="1"/>
      <c r="D49" s="1"/>
      <c r="E49" s="1">
        <v>1.0558523633466099</v>
      </c>
      <c r="F49" s="1">
        <v>1.0558523633466099</v>
      </c>
      <c r="G49" s="1">
        <v>1.0558523633466099</v>
      </c>
      <c r="H49">
        <v>1007</v>
      </c>
      <c r="I49">
        <v>1004</v>
      </c>
      <c r="J49" s="16">
        <f t="shared" si="1"/>
        <v>1</v>
      </c>
      <c r="K49" s="16">
        <f t="shared" si="2"/>
        <v>1</v>
      </c>
      <c r="L49" s="16">
        <f t="shared" si="3"/>
        <v>1</v>
      </c>
      <c r="M49" s="16">
        <f t="shared" si="4"/>
        <v>1</v>
      </c>
    </row>
    <row r="50" spans="1:13" x14ac:dyDescent="0.3">
      <c r="A50" t="s">
        <v>57</v>
      </c>
      <c r="B50" s="1">
        <v>1.00344537427479</v>
      </c>
      <c r="C50" s="1">
        <v>0.97102619535410895</v>
      </c>
      <c r="D50" s="1">
        <v>1.0034725436521099</v>
      </c>
      <c r="E50" s="1">
        <v>1.0042058201342201</v>
      </c>
      <c r="F50" s="1">
        <v>1.0042058201342201</v>
      </c>
      <c r="G50" s="1">
        <v>1.0042058201342201</v>
      </c>
      <c r="H50">
        <v>462</v>
      </c>
      <c r="I50">
        <v>447</v>
      </c>
      <c r="J50" s="16">
        <f t="shared" si="1"/>
        <v>7.5726095605430468E-4</v>
      </c>
      <c r="K50" s="16">
        <f t="shared" si="2"/>
        <v>3.3040661699885829E-2</v>
      </c>
      <c r="L50" s="16">
        <f t="shared" si="3"/>
        <v>7.3020536966434009E-4</v>
      </c>
      <c r="M50" s="16">
        <f t="shared" si="4"/>
        <v>7.5726095605430468E-4</v>
      </c>
    </row>
    <row r="51" spans="1:13" x14ac:dyDescent="0.3">
      <c r="A51" t="s">
        <v>58</v>
      </c>
      <c r="B51" s="1">
        <v>0.99681175686343704</v>
      </c>
      <c r="C51" s="1">
        <v>0.95296520424926301</v>
      </c>
      <c r="D51" s="1">
        <v>0.90546017014200797</v>
      </c>
      <c r="E51" s="1">
        <v>0.97776647286821705</v>
      </c>
      <c r="F51" s="1">
        <v>0.97776647286821705</v>
      </c>
      <c r="G51" s="1">
        <v>0.97776647286821705</v>
      </c>
      <c r="H51">
        <v>316</v>
      </c>
      <c r="I51">
        <v>258</v>
      </c>
      <c r="J51" s="16">
        <f t="shared" si="1"/>
        <v>-1.9478356564376596E-2</v>
      </c>
      <c r="K51" s="16">
        <f t="shared" si="2"/>
        <v>2.5365227083519303E-2</v>
      </c>
      <c r="L51" s="16">
        <f t="shared" si="3"/>
        <v>7.3950482791768316E-2</v>
      </c>
      <c r="M51" s="16">
        <f t="shared" si="4"/>
        <v>2.5365227083519303E-2</v>
      </c>
    </row>
    <row r="52" spans="1:13" x14ac:dyDescent="0.3">
      <c r="A52" t="s">
        <v>59</v>
      </c>
      <c r="B52" s="1">
        <v>0.92381492403010301</v>
      </c>
      <c r="C52" s="1">
        <v>1.1040166503647399</v>
      </c>
      <c r="D52" s="1">
        <v>1.2871682426271001</v>
      </c>
      <c r="E52" s="1">
        <v>1.01618894364089</v>
      </c>
      <c r="F52" s="1">
        <v>1.01618894364089</v>
      </c>
      <c r="G52" s="1">
        <v>1.01618894364089</v>
      </c>
      <c r="H52">
        <v>542</v>
      </c>
      <c r="I52">
        <v>401</v>
      </c>
      <c r="J52" s="16">
        <f t="shared" si="1"/>
        <v>9.0902405688278107E-2</v>
      </c>
      <c r="K52" s="16">
        <f t="shared" si="2"/>
        <v>-8.6428520280070406E-2</v>
      </c>
      <c r="L52" s="16">
        <f t="shared" si="3"/>
        <v>-0.26666231775295834</v>
      </c>
      <c r="M52" s="16">
        <f t="shared" si="4"/>
        <v>8.6428520280070406E-2</v>
      </c>
    </row>
    <row r="53" spans="1:13" x14ac:dyDescent="0.3">
      <c r="A53" t="s">
        <v>60</v>
      </c>
      <c r="B53" s="1">
        <v>0.99735995232651398</v>
      </c>
      <c r="C53" s="1">
        <v>0.98333090192718298</v>
      </c>
      <c r="D53" s="1">
        <v>1.0036126342373901</v>
      </c>
      <c r="E53" s="1">
        <v>1.00318020213675</v>
      </c>
      <c r="F53" s="1">
        <v>1.00318020213675</v>
      </c>
      <c r="G53" s="1">
        <v>1.00318020213675</v>
      </c>
      <c r="H53">
        <v>482</v>
      </c>
      <c r="I53">
        <v>468</v>
      </c>
      <c r="J53" s="16">
        <f t="shared" si="1"/>
        <v>5.8017989169233952E-3</v>
      </c>
      <c r="K53" s="16">
        <f t="shared" si="2"/>
        <v>1.9786375535809472E-2</v>
      </c>
      <c r="L53" s="16">
        <f t="shared" si="3"/>
        <v>-4.3106123876754686E-4</v>
      </c>
      <c r="M53" s="16">
        <f t="shared" si="4"/>
        <v>5.8017989169233952E-3</v>
      </c>
    </row>
    <row r="54" spans="1:13" x14ac:dyDescent="0.3">
      <c r="A54" t="s">
        <v>61</v>
      </c>
      <c r="B54" s="1">
        <v>0.99585478474996403</v>
      </c>
      <c r="C54" s="1">
        <v>0.99581687975880695</v>
      </c>
      <c r="D54" s="1">
        <v>0.9958390240667</v>
      </c>
      <c r="E54" s="1">
        <v>1.0039096884135399</v>
      </c>
      <c r="F54" s="1">
        <v>1.0039096884135399</v>
      </c>
      <c r="G54" s="1">
        <v>1.0039096884135399</v>
      </c>
      <c r="H54">
        <v>561</v>
      </c>
      <c r="I54">
        <v>561</v>
      </c>
      <c r="J54" s="16">
        <f t="shared" si="1"/>
        <v>8.0235341450931499E-3</v>
      </c>
      <c r="K54" s="16">
        <f t="shared" si="2"/>
        <v>8.0612915166919635E-3</v>
      </c>
      <c r="L54" s="16">
        <f t="shared" si="3"/>
        <v>8.0392334489707128E-3</v>
      </c>
      <c r="M54" s="16">
        <f t="shared" si="4"/>
        <v>8.0392334489707128E-3</v>
      </c>
    </row>
    <row r="55" spans="1:13" x14ac:dyDescent="0.3">
      <c r="A55" t="s">
        <v>62</v>
      </c>
      <c r="B55" s="1">
        <v>0.98167441336954797</v>
      </c>
      <c r="C55" s="1">
        <v>0.96167955475737199</v>
      </c>
      <c r="D55" s="1">
        <v>0.992856376166948</v>
      </c>
      <c r="E55" s="1">
        <v>1.0113610299872899</v>
      </c>
      <c r="F55" s="1">
        <v>1.0113610299872899</v>
      </c>
      <c r="G55" s="1">
        <v>1.0113610299872899</v>
      </c>
      <c r="H55">
        <v>855</v>
      </c>
      <c r="I55">
        <v>787</v>
      </c>
      <c r="J55" s="16">
        <f t="shared" si="1"/>
        <v>2.9353134773360851E-2</v>
      </c>
      <c r="K55" s="16">
        <f t="shared" si="2"/>
        <v>4.9123383002548864E-2</v>
      </c>
      <c r="L55" s="16">
        <f t="shared" si="3"/>
        <v>1.8296783514166543E-2</v>
      </c>
      <c r="M55" s="16">
        <f t="shared" si="4"/>
        <v>2.9353134773360851E-2</v>
      </c>
    </row>
    <row r="56" spans="1:13" x14ac:dyDescent="0.3">
      <c r="A56" t="s">
        <v>63</v>
      </c>
      <c r="B56" s="1">
        <v>1.00755819773038</v>
      </c>
      <c r="C56" s="1">
        <v>1.0075581995804399</v>
      </c>
      <c r="D56" s="1">
        <v>1.00755819955417</v>
      </c>
      <c r="E56" s="1">
        <v>1.0035606090908999</v>
      </c>
      <c r="F56" s="1">
        <v>1.0035606090908999</v>
      </c>
      <c r="G56" s="1">
        <v>1.0035606090908999</v>
      </c>
      <c r="H56">
        <v>88</v>
      </c>
      <c r="I56">
        <v>88</v>
      </c>
      <c r="J56" s="16">
        <f t="shared" si="1"/>
        <v>-3.9834052903903738E-3</v>
      </c>
      <c r="K56" s="16">
        <f t="shared" si="2"/>
        <v>-3.9834071338862879E-3</v>
      </c>
      <c r="L56" s="16">
        <f t="shared" si="3"/>
        <v>-3.9834071077096177E-3</v>
      </c>
      <c r="M56" s="16">
        <f t="shared" si="4"/>
        <v>3.9834071077096177E-3</v>
      </c>
    </row>
    <row r="57" spans="1:13" x14ac:dyDescent="0.3">
      <c r="A57" t="s">
        <v>64</v>
      </c>
      <c r="B57" s="1">
        <v>1.0141125530769199</v>
      </c>
      <c r="C57" s="1">
        <v>1.0129053776760599</v>
      </c>
      <c r="D57" s="1">
        <v>1.01659036425289</v>
      </c>
      <c r="E57" s="1">
        <v>1.0090898825938499</v>
      </c>
      <c r="F57" s="1">
        <v>1.0090898825938499</v>
      </c>
      <c r="G57" s="1">
        <v>1.0090898825938499</v>
      </c>
      <c r="H57">
        <v>884</v>
      </c>
      <c r="I57">
        <v>879</v>
      </c>
      <c r="J57" s="16">
        <f t="shared" si="1"/>
        <v>-4.977426262722344E-3</v>
      </c>
      <c r="K57" s="16">
        <f t="shared" si="2"/>
        <v>-3.7811250989875627E-3</v>
      </c>
      <c r="L57" s="16">
        <f t="shared" si="3"/>
        <v>-7.432917313332065E-3</v>
      </c>
      <c r="M57" s="16">
        <f t="shared" si="4"/>
        <v>4.977426262722344E-3</v>
      </c>
    </row>
    <row r="58" spans="1:13" x14ac:dyDescent="0.3">
      <c r="A58" t="s">
        <v>65</v>
      </c>
      <c r="B58" s="1">
        <v>0.96135989707412794</v>
      </c>
      <c r="C58" s="1">
        <v>0.96925172840404195</v>
      </c>
      <c r="D58" s="1">
        <v>0.96918869296955301</v>
      </c>
      <c r="E58" s="1">
        <v>0.95613817097415499</v>
      </c>
      <c r="F58" s="1">
        <v>0.95613817097415499</v>
      </c>
      <c r="G58" s="1">
        <v>0.95613817097415499</v>
      </c>
      <c r="H58">
        <v>1029</v>
      </c>
      <c r="I58">
        <v>1006</v>
      </c>
      <c r="J58" s="16">
        <f t="shared" si="1"/>
        <v>-5.4612672712907543E-3</v>
      </c>
      <c r="K58" s="16">
        <f t="shared" si="2"/>
        <v>-1.3715128030634209E-2</v>
      </c>
      <c r="L58" s="16">
        <f t="shared" si="3"/>
        <v>-1.3649200912145979E-2</v>
      </c>
      <c r="M58" s="16">
        <f t="shared" si="4"/>
        <v>1.3649200912145979E-2</v>
      </c>
    </row>
    <row r="59" spans="1:13" x14ac:dyDescent="0.3">
      <c r="A59" t="s">
        <v>66</v>
      </c>
      <c r="B59" s="1">
        <v>0.94866405675009102</v>
      </c>
      <c r="C59" s="1">
        <v>0.96621394181331899</v>
      </c>
      <c r="D59" s="1">
        <v>0.96146323069499895</v>
      </c>
      <c r="E59" s="1">
        <v>1.00459673488745</v>
      </c>
      <c r="F59" s="1">
        <v>1.00459673488745</v>
      </c>
      <c r="G59" s="1">
        <v>1.00459673488745</v>
      </c>
      <c r="H59">
        <v>715</v>
      </c>
      <c r="I59">
        <v>622</v>
      </c>
      <c r="J59" s="16">
        <f t="shared" si="1"/>
        <v>5.5676746892498553E-2</v>
      </c>
      <c r="K59" s="16">
        <f t="shared" si="2"/>
        <v>3.8207164866438943E-2</v>
      </c>
      <c r="L59" s="16">
        <f t="shared" si="3"/>
        <v>4.2936138148292467E-2</v>
      </c>
      <c r="M59" s="16">
        <f t="shared" si="4"/>
        <v>4.2936138148292467E-2</v>
      </c>
    </row>
    <row r="60" spans="1:13" x14ac:dyDescent="0.3">
      <c r="A60" t="s">
        <v>67</v>
      </c>
      <c r="B60" s="1">
        <v>1.4353843580784</v>
      </c>
      <c r="C60" s="1">
        <v>1.05076673356162</v>
      </c>
      <c r="D60" s="1">
        <v>1.0933165787864501</v>
      </c>
      <c r="E60" s="1">
        <v>1.0221000857429701</v>
      </c>
      <c r="F60" s="1">
        <v>1.0221000857429701</v>
      </c>
      <c r="G60" s="1">
        <v>1.0221000857429701</v>
      </c>
      <c r="H60">
        <v>1093</v>
      </c>
      <c r="I60">
        <v>996</v>
      </c>
      <c r="J60" s="16">
        <f t="shared" si="1"/>
        <v>-0.40434814368987299</v>
      </c>
      <c r="K60" s="16">
        <f t="shared" si="2"/>
        <v>-2.8046810893095634E-2</v>
      </c>
      <c r="L60" s="16">
        <f t="shared" si="3"/>
        <v>-6.9676633469522048E-2</v>
      </c>
      <c r="M60" s="16">
        <f t="shared" si="4"/>
        <v>6.9676633469522048E-2</v>
      </c>
    </row>
    <row r="61" spans="1:13" x14ac:dyDescent="0.3">
      <c r="A61" t="s">
        <v>68</v>
      </c>
      <c r="B61" s="1">
        <v>0.993498071382383</v>
      </c>
      <c r="C61" s="1">
        <v>0.94521855919153897</v>
      </c>
      <c r="D61" s="1">
        <v>0.96443962607855704</v>
      </c>
      <c r="E61" s="1">
        <v>1.0142612258575101</v>
      </c>
      <c r="F61" s="1">
        <v>1.0142612258575101</v>
      </c>
      <c r="G61" s="1">
        <v>1.0142612258575101</v>
      </c>
      <c r="H61">
        <v>414</v>
      </c>
      <c r="I61">
        <v>379</v>
      </c>
      <c r="J61" s="16">
        <f t="shared" si="1"/>
        <v>2.0471209926784729E-2</v>
      </c>
      <c r="K61" s="16">
        <f t="shared" si="2"/>
        <v>6.8071878235903993E-2</v>
      </c>
      <c r="L61" s="16">
        <f t="shared" si="3"/>
        <v>4.9121073061657507E-2</v>
      </c>
      <c r="M61" s="16">
        <f t="shared" si="4"/>
        <v>4.9121073061657507E-2</v>
      </c>
    </row>
    <row r="62" spans="1:13" x14ac:dyDescent="0.3">
      <c r="A62" t="s">
        <v>69</v>
      </c>
      <c r="B62" s="1">
        <v>0.97319477252317899</v>
      </c>
      <c r="C62" s="1">
        <v>0.98713396047908497</v>
      </c>
      <c r="D62" s="1">
        <v>0.98913128178031995</v>
      </c>
      <c r="E62" s="1">
        <v>0.97040396341463397</v>
      </c>
      <c r="F62" s="1">
        <v>0.97040396341463397</v>
      </c>
      <c r="G62" s="1">
        <v>0.97040396341463397</v>
      </c>
      <c r="H62">
        <v>501</v>
      </c>
      <c r="I62">
        <v>492</v>
      </c>
      <c r="J62" s="16">
        <f t="shared" si="1"/>
        <v>-2.8759250928085452E-3</v>
      </c>
      <c r="K62" s="16">
        <f t="shared" si="2"/>
        <v>-1.7240239833297762E-2</v>
      </c>
      <c r="L62" s="16">
        <f t="shared" si="3"/>
        <v>-1.9298476790829192E-2</v>
      </c>
      <c r="M62" s="16">
        <f t="shared" si="4"/>
        <v>1.7240239833297762E-2</v>
      </c>
    </row>
    <row r="63" spans="1:13" x14ac:dyDescent="0.3">
      <c r="A63" t="s">
        <v>70</v>
      </c>
      <c r="B63" s="1">
        <v>0.98146983385632303</v>
      </c>
      <c r="C63" s="1">
        <v>0.98505585374995996</v>
      </c>
      <c r="D63" s="1">
        <v>0.98503604873448503</v>
      </c>
      <c r="E63" s="1">
        <v>1.0080434083980201</v>
      </c>
      <c r="F63" s="1">
        <v>1.0080434083980201</v>
      </c>
      <c r="G63" s="1">
        <v>1.0080434083980201</v>
      </c>
      <c r="H63">
        <v>1474</v>
      </c>
      <c r="I63">
        <v>1417</v>
      </c>
      <c r="J63" s="16">
        <f t="shared" si="1"/>
        <v>2.6361537926157089E-2</v>
      </c>
      <c r="K63" s="16">
        <f t="shared" si="2"/>
        <v>2.2804131703605787E-2</v>
      </c>
      <c r="L63" s="16">
        <f t="shared" si="3"/>
        <v>2.2823778690342612E-2</v>
      </c>
      <c r="M63" s="16">
        <f t="shared" si="4"/>
        <v>2.2823778690342612E-2</v>
      </c>
    </row>
    <row r="64" spans="1:13" x14ac:dyDescent="0.3">
      <c r="A64" t="s">
        <v>71</v>
      </c>
      <c r="B64" s="1">
        <v>5.1789216611158597</v>
      </c>
      <c r="C64" s="1">
        <v>5.20032297247002</v>
      </c>
      <c r="D64" s="1">
        <v>5.0729317184230496</v>
      </c>
      <c r="E64" s="1">
        <v>1.0349669347100801</v>
      </c>
      <c r="F64" s="1">
        <v>1.0349669347100801</v>
      </c>
      <c r="G64" s="1">
        <v>1.0349669347100801</v>
      </c>
      <c r="H64">
        <v>1475</v>
      </c>
      <c r="I64">
        <v>1259</v>
      </c>
      <c r="J64" s="16">
        <f t="shared" si="1"/>
        <v>-4.0039489064127487</v>
      </c>
      <c r="K64" s="16">
        <f t="shared" si="2"/>
        <v>-4.0246271625351584</v>
      </c>
      <c r="L64" s="16">
        <f t="shared" si="3"/>
        <v>-3.9015398930054745</v>
      </c>
      <c r="M64" s="16">
        <f t="shared" si="4"/>
        <v>4.0039489064127487</v>
      </c>
    </row>
    <row r="65" spans="1:13" x14ac:dyDescent="0.3">
      <c r="A65" t="s">
        <v>72</v>
      </c>
      <c r="B65" s="1">
        <v>1.0033545286010099</v>
      </c>
      <c r="C65" s="1">
        <v>1.0034201462710499</v>
      </c>
      <c r="D65" s="1">
        <v>1.0032856015687699</v>
      </c>
      <c r="E65" s="1">
        <v>1.01566668</v>
      </c>
      <c r="F65" s="1">
        <v>1.01566668</v>
      </c>
      <c r="G65" s="1">
        <v>1.01566668</v>
      </c>
      <c r="H65">
        <v>145</v>
      </c>
      <c r="I65">
        <v>145</v>
      </c>
      <c r="J65" s="16">
        <f t="shared" si="1"/>
        <v>1.2122236203505377E-2</v>
      </c>
      <c r="K65" s="16">
        <f t="shared" si="2"/>
        <v>1.2057630687412259E-2</v>
      </c>
      <c r="L65" s="16">
        <f t="shared" si="3"/>
        <v>1.219010003481669E-2</v>
      </c>
      <c r="M65" s="16">
        <f t="shared" si="4"/>
        <v>1.2122236203505377E-2</v>
      </c>
    </row>
    <row r="66" spans="1:13" x14ac:dyDescent="0.3">
      <c r="A66" t="s">
        <v>73</v>
      </c>
      <c r="B66" s="1">
        <v>0.95719268082689601</v>
      </c>
      <c r="C66" s="1">
        <v>0.96882791868918905</v>
      </c>
      <c r="D66" s="1">
        <v>0.93711913532578806</v>
      </c>
      <c r="E66" s="1">
        <v>1.0113138826666599</v>
      </c>
      <c r="F66" s="1">
        <v>1.0113138826666599</v>
      </c>
      <c r="G66" s="1">
        <v>1.0113138826666599</v>
      </c>
      <c r="H66">
        <v>599</v>
      </c>
      <c r="I66">
        <v>525</v>
      </c>
      <c r="J66" s="16">
        <f t="shared" si="1"/>
        <v>5.3515731136860915E-2</v>
      </c>
      <c r="K66" s="16">
        <f t="shared" si="2"/>
        <v>4.20106602961315E-2</v>
      </c>
      <c r="L66" s="16">
        <f t="shared" si="3"/>
        <v>7.3364707646683458E-2</v>
      </c>
      <c r="M66" s="16">
        <f t="shared" si="4"/>
        <v>5.3515731136860915E-2</v>
      </c>
    </row>
    <row r="67" spans="1:13" x14ac:dyDescent="0.3">
      <c r="A67" t="s">
        <v>74</v>
      </c>
      <c r="B67" s="1">
        <v>0.99994748566927605</v>
      </c>
      <c r="C67" s="1">
        <v>0.97530291203253505</v>
      </c>
      <c r="D67" s="1">
        <v>1.21546629577136</v>
      </c>
      <c r="E67" s="1">
        <v>1.00291047664543</v>
      </c>
      <c r="F67" s="1">
        <v>1.00291047664543</v>
      </c>
      <c r="G67" s="1">
        <v>1.00291047664543</v>
      </c>
      <c r="H67">
        <v>488</v>
      </c>
      <c r="I67">
        <v>471</v>
      </c>
      <c r="J67" s="16">
        <f t="shared" ref="J67:J130" si="5">(E67-B67)/E67</f>
        <v>2.9543922864029197E-3</v>
      </c>
      <c r="K67" s="16">
        <f t="shared" ref="K67:K130" si="6">(F67-C67)/F67</f>
        <v>2.7527446622392138E-2</v>
      </c>
      <c r="L67" s="16">
        <f t="shared" ref="L67:L130" si="7">(G67-D67)/G67</f>
        <v>-0.21193897568693684</v>
      </c>
      <c r="M67" s="16">
        <f t="shared" ref="M67:M130" si="8">ABS(MEDIAN(J67:L67))</f>
        <v>2.9543922864029197E-3</v>
      </c>
    </row>
    <row r="68" spans="1:13" x14ac:dyDescent="0.3">
      <c r="A68" t="s">
        <v>75</v>
      </c>
      <c r="B68" s="1">
        <v>1.1149816840062301</v>
      </c>
      <c r="C68" s="1">
        <v>0.97387895947284198</v>
      </c>
      <c r="D68" s="1">
        <v>0.99602835863066197</v>
      </c>
      <c r="E68" s="1">
        <v>0.83666289251207704</v>
      </c>
      <c r="F68" s="1">
        <v>0.83666289251207704</v>
      </c>
      <c r="G68" s="1">
        <v>0.83666289251207704</v>
      </c>
      <c r="H68">
        <v>855</v>
      </c>
      <c r="I68">
        <v>828</v>
      </c>
      <c r="J68" s="16">
        <f t="shared" si="5"/>
        <v>-0.33265344260518354</v>
      </c>
      <c r="K68" s="16">
        <f t="shared" si="6"/>
        <v>-0.16400400709630403</v>
      </c>
      <c r="L68" s="16">
        <f t="shared" si="7"/>
        <v>-0.19047751196433577</v>
      </c>
      <c r="M68" s="16">
        <f t="shared" si="8"/>
        <v>0.19047751196433577</v>
      </c>
    </row>
    <row r="69" spans="1:13" x14ac:dyDescent="0.3">
      <c r="A69" t="s">
        <v>76</v>
      </c>
      <c r="B69" s="1">
        <v>1.20928558995655</v>
      </c>
      <c r="C69" s="1">
        <v>2.3336313756318701</v>
      </c>
      <c r="D69" s="1">
        <v>1.8164961090990099</v>
      </c>
      <c r="E69" s="1">
        <v>0.97583040730337001</v>
      </c>
      <c r="F69" s="1">
        <v>0.97583040730337001</v>
      </c>
      <c r="G69" s="1">
        <v>0.97583040730337001</v>
      </c>
      <c r="H69">
        <v>1264</v>
      </c>
      <c r="I69">
        <v>1068</v>
      </c>
      <c r="J69" s="16">
        <f t="shared" si="5"/>
        <v>-0.23923745448588232</v>
      </c>
      <c r="K69" s="16">
        <f t="shared" si="6"/>
        <v>-1.3914312960186141</v>
      </c>
      <c r="L69" s="16">
        <f t="shared" si="7"/>
        <v>-0.86148750387759787</v>
      </c>
      <c r="M69" s="16">
        <f t="shared" si="8"/>
        <v>0.86148750387759787</v>
      </c>
    </row>
    <row r="70" spans="1:13" x14ac:dyDescent="0.3">
      <c r="A70" t="s">
        <v>77</v>
      </c>
      <c r="B70" s="1">
        <v>0.98791353093602297</v>
      </c>
      <c r="C70" s="1">
        <v>0.97191933547976905</v>
      </c>
      <c r="D70" s="1">
        <v>0.96029446880588298</v>
      </c>
      <c r="E70" s="1">
        <v>1.0046736734453701</v>
      </c>
      <c r="F70" s="1">
        <v>1.0046736734453701</v>
      </c>
      <c r="G70" s="1">
        <v>1.0046736734453701</v>
      </c>
      <c r="H70">
        <v>626</v>
      </c>
      <c r="I70">
        <v>595</v>
      </c>
      <c r="J70" s="16">
        <f t="shared" si="5"/>
        <v>1.6682175468847343E-2</v>
      </c>
      <c r="K70" s="16">
        <f t="shared" si="6"/>
        <v>3.2601967018081768E-2</v>
      </c>
      <c r="L70" s="16">
        <f t="shared" si="7"/>
        <v>4.4172755604608996E-2</v>
      </c>
      <c r="M70" s="16">
        <f t="shared" si="8"/>
        <v>3.2601967018081768E-2</v>
      </c>
    </row>
    <row r="71" spans="1:13" x14ac:dyDescent="0.3">
      <c r="A71" t="s">
        <v>78</v>
      </c>
      <c r="B71" s="1">
        <v>0.97518752277618304</v>
      </c>
      <c r="C71" s="1">
        <v>0.94127813604480903</v>
      </c>
      <c r="D71" s="1">
        <v>0.95040374019097595</v>
      </c>
      <c r="E71" s="1">
        <v>0.78006589248434199</v>
      </c>
      <c r="F71" s="1">
        <v>0.78006589248434199</v>
      </c>
      <c r="G71" s="1">
        <v>0.78006589248434199</v>
      </c>
      <c r="H71">
        <v>1082</v>
      </c>
      <c r="I71">
        <v>958</v>
      </c>
      <c r="J71" s="16">
        <f t="shared" si="5"/>
        <v>-0.25013480549754669</v>
      </c>
      <c r="K71" s="16">
        <f t="shared" si="6"/>
        <v>-0.20666490499544948</v>
      </c>
      <c r="L71" s="16">
        <f t="shared" si="7"/>
        <v>-0.21836340922962877</v>
      </c>
      <c r="M71" s="16">
        <f t="shared" si="8"/>
        <v>0.21836340922962877</v>
      </c>
    </row>
    <row r="72" spans="1:13" x14ac:dyDescent="0.3">
      <c r="A72" t="s">
        <v>79</v>
      </c>
      <c r="B72" s="1">
        <v>0.99913137418619402</v>
      </c>
      <c r="C72" s="1">
        <v>0.98992091781111302</v>
      </c>
      <c r="D72" s="1">
        <v>0.98068487789199899</v>
      </c>
      <c r="E72" s="1">
        <v>1.00550685039494</v>
      </c>
      <c r="F72" s="1">
        <v>1.00550685039494</v>
      </c>
      <c r="G72" s="1">
        <v>1.00550685039494</v>
      </c>
      <c r="H72">
        <v>651</v>
      </c>
      <c r="I72">
        <v>633</v>
      </c>
      <c r="J72" s="16">
        <f t="shared" si="5"/>
        <v>6.3405596950849921E-3</v>
      </c>
      <c r="K72" s="16">
        <f t="shared" si="6"/>
        <v>1.5500573245925887E-2</v>
      </c>
      <c r="L72" s="16">
        <f t="shared" si="7"/>
        <v>2.4686030227632508E-2</v>
      </c>
      <c r="M72" s="16">
        <f t="shared" si="8"/>
        <v>1.5500573245925887E-2</v>
      </c>
    </row>
    <row r="73" spans="1:13" x14ac:dyDescent="0.3">
      <c r="A73" t="s">
        <v>80</v>
      </c>
      <c r="B73" s="1">
        <v>1.0032335929259</v>
      </c>
      <c r="C73" s="1">
        <v>0.99847657930787503</v>
      </c>
      <c r="D73" s="1">
        <v>1.0031964600385701</v>
      </c>
      <c r="E73" s="1">
        <v>1.0309603438095201</v>
      </c>
      <c r="F73" s="1">
        <v>1.0309603438095201</v>
      </c>
      <c r="G73" s="1">
        <v>1.0309603438095201</v>
      </c>
      <c r="H73">
        <v>211</v>
      </c>
      <c r="I73">
        <v>210</v>
      </c>
      <c r="J73" s="16">
        <f t="shared" si="5"/>
        <v>2.689410029212809E-2</v>
      </c>
      <c r="K73" s="16">
        <f t="shared" si="6"/>
        <v>3.1508258001092151E-2</v>
      </c>
      <c r="L73" s="16">
        <f t="shared" si="7"/>
        <v>2.6930118057072044E-2</v>
      </c>
      <c r="M73" s="16">
        <f t="shared" si="8"/>
        <v>2.6930118057072044E-2</v>
      </c>
    </row>
    <row r="74" spans="1:13" x14ac:dyDescent="0.3">
      <c r="A74" t="s">
        <v>81</v>
      </c>
      <c r="B74" s="1">
        <v>1.00151478561609</v>
      </c>
      <c r="C74" s="1">
        <v>0.95932981935679396</v>
      </c>
      <c r="D74" s="1">
        <v>1.0015808108289399</v>
      </c>
      <c r="E74" s="1">
        <v>1.0021150018</v>
      </c>
      <c r="F74" s="1">
        <v>1.0021150018</v>
      </c>
      <c r="G74" s="1">
        <v>1.0021150018</v>
      </c>
      <c r="H74">
        <v>522</v>
      </c>
      <c r="I74">
        <v>500</v>
      </c>
      <c r="J74" s="16">
        <f t="shared" si="5"/>
        <v>5.9894940484069362E-4</v>
      </c>
      <c r="K74" s="16">
        <f t="shared" si="6"/>
        <v>4.2694882689467049E-2</v>
      </c>
      <c r="L74" s="16">
        <f t="shared" si="7"/>
        <v>5.3306354071199088E-4</v>
      </c>
      <c r="M74" s="16">
        <f t="shared" si="8"/>
        <v>5.9894940484069362E-4</v>
      </c>
    </row>
    <row r="75" spans="1:13" x14ac:dyDescent="0.3">
      <c r="A75" t="s">
        <v>82</v>
      </c>
      <c r="B75" s="1">
        <v>0.96460385858000597</v>
      </c>
      <c r="C75" s="1">
        <v>0.94754273898271002</v>
      </c>
      <c r="D75" s="1">
        <v>0.96919814969283702</v>
      </c>
      <c r="E75" s="1">
        <v>1.00564486807095</v>
      </c>
      <c r="F75" s="1">
        <v>1.00564486807095</v>
      </c>
      <c r="G75" s="1">
        <v>1.00564486807095</v>
      </c>
      <c r="H75">
        <v>1019</v>
      </c>
      <c r="I75">
        <v>902</v>
      </c>
      <c r="J75" s="16">
        <f t="shared" si="5"/>
        <v>4.0810638818920032E-2</v>
      </c>
      <c r="K75" s="16">
        <f t="shared" si="6"/>
        <v>5.7775991240021689E-2</v>
      </c>
      <c r="L75" s="16">
        <f t="shared" si="7"/>
        <v>3.6242136300089579E-2</v>
      </c>
      <c r="M75" s="16">
        <f t="shared" si="8"/>
        <v>4.0810638818920032E-2</v>
      </c>
    </row>
    <row r="76" spans="1:13" x14ac:dyDescent="0.3">
      <c r="A76" t="s">
        <v>83</v>
      </c>
      <c r="B76" s="1">
        <v>0.995785244794538</v>
      </c>
      <c r="C76" s="1">
        <v>0.99578585092116201</v>
      </c>
      <c r="D76" s="1">
        <v>0.95931992037744696</v>
      </c>
      <c r="E76" s="1">
        <v>1.0065277833333299</v>
      </c>
      <c r="F76" s="1">
        <v>1.0065277833333299</v>
      </c>
      <c r="G76" s="1">
        <v>1.0065277833333299</v>
      </c>
      <c r="H76">
        <v>411</v>
      </c>
      <c r="I76">
        <v>396</v>
      </c>
      <c r="J76" s="16">
        <f t="shared" si="5"/>
        <v>1.0672868366549935E-2</v>
      </c>
      <c r="K76" s="16">
        <f t="shared" si="6"/>
        <v>1.0672266170928472E-2</v>
      </c>
      <c r="L76" s="16">
        <f t="shared" si="7"/>
        <v>4.69016988279689E-2</v>
      </c>
      <c r="M76" s="16">
        <f t="shared" si="8"/>
        <v>1.0672868366549935E-2</v>
      </c>
    </row>
    <row r="77" spans="1:13" x14ac:dyDescent="0.3">
      <c r="A77" t="s">
        <v>84</v>
      </c>
      <c r="B77" s="1">
        <v>0.98652367691563503</v>
      </c>
      <c r="C77" s="1">
        <v>0.98858173157094198</v>
      </c>
      <c r="D77" s="1">
        <v>0.98719482580565099</v>
      </c>
      <c r="E77" s="1">
        <v>0.80592323651452202</v>
      </c>
      <c r="F77" s="1">
        <v>0.80592323651452202</v>
      </c>
      <c r="G77" s="1">
        <v>0.80592323651452202</v>
      </c>
      <c r="H77">
        <v>1463</v>
      </c>
      <c r="I77">
        <v>1446</v>
      </c>
      <c r="J77" s="16">
        <f t="shared" si="5"/>
        <v>-0.22409136778606673</v>
      </c>
      <c r="K77" s="16">
        <f t="shared" si="6"/>
        <v>-0.22664502868335973</v>
      </c>
      <c r="L77" s="16">
        <f t="shared" si="7"/>
        <v>-0.22492413802969263</v>
      </c>
      <c r="M77" s="16">
        <f t="shared" si="8"/>
        <v>0.22492413802969263</v>
      </c>
    </row>
    <row r="78" spans="1:13" x14ac:dyDescent="0.3">
      <c r="A78" t="s">
        <v>85</v>
      </c>
      <c r="B78" s="1">
        <v>0.97595062885184702</v>
      </c>
      <c r="C78" s="1">
        <v>0.98175233594172295</v>
      </c>
      <c r="D78" s="1">
        <v>0.98317291555623498</v>
      </c>
      <c r="E78" s="1">
        <v>0.97871757740457999</v>
      </c>
      <c r="F78" s="1">
        <v>0.97871757740457999</v>
      </c>
      <c r="G78" s="1">
        <v>0.97871757740457999</v>
      </c>
      <c r="H78">
        <v>682</v>
      </c>
      <c r="I78">
        <v>655</v>
      </c>
      <c r="J78" s="16">
        <f t="shared" si="5"/>
        <v>2.8271164395254006E-3</v>
      </c>
      <c r="K78" s="16">
        <f t="shared" si="6"/>
        <v>-3.1007500092015473E-3</v>
      </c>
      <c r="L78" s="16">
        <f t="shared" si="7"/>
        <v>-4.5522204306066736E-3</v>
      </c>
      <c r="M78" s="16">
        <f t="shared" si="8"/>
        <v>3.1007500092015473E-3</v>
      </c>
    </row>
    <row r="79" spans="1:13" x14ac:dyDescent="0.3">
      <c r="A79" t="s">
        <v>86</v>
      </c>
      <c r="B79" s="1">
        <v>1.00034683627737</v>
      </c>
      <c r="C79" s="1">
        <v>1.0003380786931499</v>
      </c>
      <c r="D79" s="1">
        <v>1.00037440501652</v>
      </c>
      <c r="E79" s="1">
        <v>0.92092643805309704</v>
      </c>
      <c r="F79" s="1">
        <v>0.92092643805309704</v>
      </c>
      <c r="G79" s="1">
        <v>0.92092643805309704</v>
      </c>
      <c r="H79">
        <v>452</v>
      </c>
      <c r="I79">
        <v>452</v>
      </c>
      <c r="J79" s="16">
        <f t="shared" si="5"/>
        <v>-8.6239676637119053E-2</v>
      </c>
      <c r="K79" s="16">
        <f t="shared" si="6"/>
        <v>-8.6230167099920235E-2</v>
      </c>
      <c r="L79" s="16">
        <f t="shared" si="7"/>
        <v>-8.6269612512571037E-2</v>
      </c>
      <c r="M79" s="16">
        <f t="shared" si="8"/>
        <v>8.6239676637119053E-2</v>
      </c>
    </row>
    <row r="80" spans="1:13" x14ac:dyDescent="0.3">
      <c r="A80" t="s">
        <v>87</v>
      </c>
      <c r="B80" s="1">
        <v>1.33129192090227</v>
      </c>
      <c r="C80" s="1">
        <v>1.0487984248676101</v>
      </c>
      <c r="D80" s="1">
        <v>1.0027627452563701</v>
      </c>
      <c r="E80" s="1">
        <v>1.00336366128093</v>
      </c>
      <c r="F80" s="1">
        <v>1.00336366128093</v>
      </c>
      <c r="G80" s="1">
        <v>1.00336366128093</v>
      </c>
      <c r="H80">
        <v>720</v>
      </c>
      <c r="I80">
        <v>687</v>
      </c>
      <c r="J80" s="16">
        <f t="shared" si="5"/>
        <v>-0.32682891784489682</v>
      </c>
      <c r="K80" s="16">
        <f t="shared" si="6"/>
        <v>-4.5282448767056636E-2</v>
      </c>
      <c r="L80" s="16">
        <f t="shared" si="7"/>
        <v>5.9890152269693087E-4</v>
      </c>
      <c r="M80" s="16">
        <f t="shared" si="8"/>
        <v>4.5282448767056636E-2</v>
      </c>
    </row>
    <row r="81" spans="1:13" x14ac:dyDescent="0.3">
      <c r="A81" t="s">
        <v>88</v>
      </c>
      <c r="B81" s="1">
        <v>0.98887701838418196</v>
      </c>
      <c r="C81" s="1">
        <v>0.98996545540539505</v>
      </c>
      <c r="D81" s="1">
        <v>0.99105537034832902</v>
      </c>
      <c r="E81" s="1">
        <v>1.0082185862294999</v>
      </c>
      <c r="F81" s="1">
        <v>1.0082185862294999</v>
      </c>
      <c r="G81" s="1">
        <v>1.0082185862294999</v>
      </c>
      <c r="H81">
        <v>918</v>
      </c>
      <c r="I81">
        <v>915</v>
      </c>
      <c r="J81" s="16">
        <f t="shared" si="5"/>
        <v>1.9183903281976621E-2</v>
      </c>
      <c r="K81" s="16">
        <f t="shared" si="6"/>
        <v>1.8104338754919465E-2</v>
      </c>
      <c r="L81" s="16">
        <f t="shared" si="7"/>
        <v>1.7023308353555804E-2</v>
      </c>
      <c r="M81" s="16">
        <f t="shared" si="8"/>
        <v>1.8104338754919465E-2</v>
      </c>
    </row>
    <row r="82" spans="1:13" x14ac:dyDescent="0.3">
      <c r="A82" t="s">
        <v>89</v>
      </c>
      <c r="B82" s="1">
        <v>0.98513767284091203</v>
      </c>
      <c r="C82" s="1">
        <v>0.96675991302983499</v>
      </c>
      <c r="D82" s="1">
        <v>0.97846593111261804</v>
      </c>
      <c r="E82" s="1">
        <v>0.96073750855578299</v>
      </c>
      <c r="F82" s="1">
        <v>0.96073750855578299</v>
      </c>
      <c r="G82" s="1">
        <v>0.96073750855578299</v>
      </c>
      <c r="H82">
        <v>1499</v>
      </c>
      <c r="I82">
        <v>1461</v>
      </c>
      <c r="J82" s="16">
        <f t="shared" si="5"/>
        <v>-2.5397326603609226E-2</v>
      </c>
      <c r="K82" s="16">
        <f t="shared" si="6"/>
        <v>-6.2685222762928318E-3</v>
      </c>
      <c r="L82" s="16">
        <f t="shared" si="7"/>
        <v>-1.8452930586092219E-2</v>
      </c>
      <c r="M82" s="16">
        <f t="shared" si="8"/>
        <v>1.8452930586092219E-2</v>
      </c>
    </row>
    <row r="83" spans="1:13" x14ac:dyDescent="0.3">
      <c r="A83" t="s">
        <v>90</v>
      </c>
      <c r="B83" s="1">
        <v>1.0009892434738199</v>
      </c>
      <c r="C83" s="1">
        <v>1.0009960122563699</v>
      </c>
      <c r="D83" s="1">
        <v>0.94121229161867404</v>
      </c>
      <c r="E83" s="1">
        <v>1.0156585457264899</v>
      </c>
      <c r="F83" s="1">
        <v>1.0156585457264899</v>
      </c>
      <c r="G83" s="1">
        <v>1.0156585457264899</v>
      </c>
      <c r="H83">
        <v>249</v>
      </c>
      <c r="I83">
        <v>234</v>
      </c>
      <c r="J83" s="16">
        <f t="shared" si="5"/>
        <v>1.4443143627740806E-2</v>
      </c>
      <c r="K83" s="16">
        <f t="shared" si="6"/>
        <v>1.4436479200430568E-2</v>
      </c>
      <c r="L83" s="16">
        <f t="shared" si="7"/>
        <v>7.329850609839085E-2</v>
      </c>
      <c r="M83" s="16">
        <f t="shared" si="8"/>
        <v>1.4443143627740806E-2</v>
      </c>
    </row>
    <row r="84" spans="1:13" x14ac:dyDescent="0.3">
      <c r="A84" t="s">
        <v>91</v>
      </c>
      <c r="B84" s="1">
        <v>1.01971300179475</v>
      </c>
      <c r="C84" s="1">
        <v>0.95997818887131703</v>
      </c>
      <c r="D84" s="1">
        <v>1.0350397553355599</v>
      </c>
      <c r="E84" s="1">
        <v>1.0043703544102001</v>
      </c>
      <c r="F84" s="1">
        <v>1.0043703544102001</v>
      </c>
      <c r="G84" s="1">
        <v>1.0043703544102001</v>
      </c>
      <c r="H84">
        <v>1053</v>
      </c>
      <c r="I84">
        <v>941</v>
      </c>
      <c r="J84" s="16">
        <f t="shared" si="5"/>
        <v>-1.5275886347282374E-2</v>
      </c>
      <c r="K84" s="16">
        <f t="shared" si="6"/>
        <v>4.4199000243243539E-2</v>
      </c>
      <c r="L84" s="16">
        <f t="shared" si="7"/>
        <v>-3.0535948010303387E-2</v>
      </c>
      <c r="M84" s="16">
        <f t="shared" si="8"/>
        <v>1.5275886347282374E-2</v>
      </c>
    </row>
    <row r="85" spans="1:13" x14ac:dyDescent="0.3">
      <c r="A85" t="s">
        <v>92</v>
      </c>
      <c r="B85" s="1">
        <v>0.98247240486551601</v>
      </c>
      <c r="C85" s="1">
        <v>0.97371564588841197</v>
      </c>
      <c r="D85" s="1">
        <v>1.2384893150890299</v>
      </c>
      <c r="E85" s="1">
        <v>1.0058928621580501</v>
      </c>
      <c r="F85" s="1">
        <v>1.0058928621580501</v>
      </c>
      <c r="G85" s="1">
        <v>1.0058928621580501</v>
      </c>
      <c r="H85">
        <v>691</v>
      </c>
      <c r="I85">
        <v>658</v>
      </c>
      <c r="J85" s="16">
        <f t="shared" si="5"/>
        <v>2.3283252296161676E-2</v>
      </c>
      <c r="K85" s="16">
        <f t="shared" si="6"/>
        <v>3.1988711203899844E-2</v>
      </c>
      <c r="L85" s="16">
        <f t="shared" si="7"/>
        <v>-0.23123382388057281</v>
      </c>
      <c r="M85" s="16">
        <f t="shared" si="8"/>
        <v>2.3283252296161676E-2</v>
      </c>
    </row>
    <row r="86" spans="1:13" x14ac:dyDescent="0.3">
      <c r="A86" t="s">
        <v>93</v>
      </c>
      <c r="B86" s="1">
        <v>1.00458086030933</v>
      </c>
      <c r="C86" s="1">
        <v>0.97864935859959301</v>
      </c>
      <c r="D86" s="1">
        <v>1.0047183227210299</v>
      </c>
      <c r="E86" s="1">
        <v>1.0022268692307601</v>
      </c>
      <c r="F86" s="1">
        <v>1.0022268692307601</v>
      </c>
      <c r="G86" s="1">
        <v>1.0022268692307601</v>
      </c>
      <c r="H86">
        <v>307</v>
      </c>
      <c r="I86">
        <v>299</v>
      </c>
      <c r="J86" s="16">
        <f t="shared" si="5"/>
        <v>-2.3487606956463744E-3</v>
      </c>
      <c r="K86" s="16">
        <f t="shared" si="6"/>
        <v>2.3525123258033933E-2</v>
      </c>
      <c r="L86" s="16">
        <f t="shared" si="7"/>
        <v>-2.4859176766853881E-3</v>
      </c>
      <c r="M86" s="16">
        <f t="shared" si="8"/>
        <v>2.3487606956463744E-3</v>
      </c>
    </row>
    <row r="87" spans="1:13" x14ac:dyDescent="0.3">
      <c r="A87" t="s">
        <v>94</v>
      </c>
      <c r="B87" s="1">
        <v>2.2850630935446401</v>
      </c>
      <c r="C87" s="1">
        <v>1.6821716127633599</v>
      </c>
      <c r="D87" s="1">
        <v>1.44296116568238</v>
      </c>
      <c r="E87" s="1">
        <v>1.0187800220601599</v>
      </c>
      <c r="F87" s="1">
        <v>1.0187800220601599</v>
      </c>
      <c r="G87" s="1">
        <v>1.0187800220601599</v>
      </c>
      <c r="H87">
        <v>1432</v>
      </c>
      <c r="I87">
        <v>1097</v>
      </c>
      <c r="J87" s="16">
        <f t="shared" si="5"/>
        <v>-1.2429406192357637</v>
      </c>
      <c r="K87" s="16">
        <f t="shared" si="6"/>
        <v>-0.65116274007974806</v>
      </c>
      <c r="L87" s="16">
        <f t="shared" si="7"/>
        <v>-0.41636185873025661</v>
      </c>
      <c r="M87" s="16">
        <f t="shared" si="8"/>
        <v>0.65116274007974806</v>
      </c>
    </row>
    <row r="88" spans="1:13" x14ac:dyDescent="0.3">
      <c r="A88" t="s">
        <v>95</v>
      </c>
      <c r="B88" s="1">
        <v>1.0051592721149301</v>
      </c>
      <c r="C88" s="1">
        <v>0.97802402011188505</v>
      </c>
      <c r="D88" s="1">
        <v>1.0095994534919699</v>
      </c>
      <c r="E88" s="1">
        <v>1.0032413820689601</v>
      </c>
      <c r="F88" s="1">
        <v>1.0032413820689601</v>
      </c>
      <c r="G88" s="1">
        <v>1.0032413820689601</v>
      </c>
      <c r="H88">
        <v>451</v>
      </c>
      <c r="I88">
        <v>435</v>
      </c>
      <c r="J88" s="16">
        <f t="shared" si="5"/>
        <v>-1.9116935168830113E-3</v>
      </c>
      <c r="K88" s="16">
        <f t="shared" si="6"/>
        <v>2.5135886943847829E-2</v>
      </c>
      <c r="L88" s="16">
        <f t="shared" si="7"/>
        <v>-6.3375290699210591E-3</v>
      </c>
      <c r="M88" s="16">
        <f t="shared" si="8"/>
        <v>1.9116935168830113E-3</v>
      </c>
    </row>
    <row r="89" spans="1:13" x14ac:dyDescent="0.3">
      <c r="A89" t="s">
        <v>96</v>
      </c>
      <c r="B89" s="1">
        <v>0.96015741201848603</v>
      </c>
      <c r="C89" s="1">
        <v>0.94961387868449398</v>
      </c>
      <c r="D89" s="1">
        <v>0.96490628113476695</v>
      </c>
      <c r="E89" s="1">
        <v>1.0053828579842901</v>
      </c>
      <c r="F89" s="1">
        <v>1.0053828579842901</v>
      </c>
      <c r="G89" s="1">
        <v>1.0053828579842901</v>
      </c>
      <c r="H89">
        <v>829</v>
      </c>
      <c r="I89">
        <v>764</v>
      </c>
      <c r="J89" s="16">
        <f t="shared" si="5"/>
        <v>4.4983307211421249E-2</v>
      </c>
      <c r="K89" s="16">
        <f t="shared" si="6"/>
        <v>5.5470390067728317E-2</v>
      </c>
      <c r="L89" s="16">
        <f t="shared" si="7"/>
        <v>4.0259863720647986E-2</v>
      </c>
      <c r="M89" s="16">
        <f t="shared" si="8"/>
        <v>4.4983307211421249E-2</v>
      </c>
    </row>
    <row r="90" spans="1:13" x14ac:dyDescent="0.3">
      <c r="A90" t="s">
        <v>97</v>
      </c>
      <c r="B90" s="1">
        <v>0.95401225919791899</v>
      </c>
      <c r="C90" s="1">
        <v>0.95125461589811999</v>
      </c>
      <c r="D90" s="1">
        <v>0.93011375362133297</v>
      </c>
      <c r="E90" s="1">
        <v>1.00524975346385</v>
      </c>
      <c r="F90" s="1">
        <v>1.00524975346385</v>
      </c>
      <c r="G90" s="1">
        <v>1.00524975346385</v>
      </c>
      <c r="H90">
        <v>804</v>
      </c>
      <c r="I90">
        <v>664</v>
      </c>
      <c r="J90" s="16">
        <f t="shared" si="5"/>
        <v>5.0969914779266455E-2</v>
      </c>
      <c r="K90" s="16">
        <f t="shared" si="6"/>
        <v>5.3713156735105606E-2</v>
      </c>
      <c r="L90" s="16">
        <f t="shared" si="7"/>
        <v>7.4743614294473973E-2</v>
      </c>
      <c r="M90" s="16">
        <f t="shared" si="8"/>
        <v>5.3713156735105606E-2</v>
      </c>
    </row>
    <row r="91" spans="1:13" x14ac:dyDescent="0.3">
      <c r="A91" t="s">
        <v>98</v>
      </c>
      <c r="B91" s="1">
        <v>0.96498425418893796</v>
      </c>
      <c r="C91" s="1">
        <v>0.99129723541889303</v>
      </c>
      <c r="D91" s="1">
        <v>0.99130120974730196</v>
      </c>
      <c r="E91" s="1">
        <v>1.0076422829268199</v>
      </c>
      <c r="F91" s="1">
        <v>1.0076422829268199</v>
      </c>
      <c r="G91" s="1">
        <v>1.0076422829268199</v>
      </c>
      <c r="H91">
        <v>421</v>
      </c>
      <c r="I91">
        <v>410</v>
      </c>
      <c r="J91" s="16">
        <f t="shared" si="5"/>
        <v>4.2334496537775775E-2</v>
      </c>
      <c r="K91" s="16">
        <f t="shared" si="6"/>
        <v>1.6221081414379203E-2</v>
      </c>
      <c r="L91" s="16">
        <f t="shared" si="7"/>
        <v>1.6217137228554265E-2</v>
      </c>
      <c r="M91" s="16">
        <f t="shared" si="8"/>
        <v>1.6221081414379203E-2</v>
      </c>
    </row>
    <row r="92" spans="1:13" x14ac:dyDescent="0.3">
      <c r="A92" t="s">
        <v>99</v>
      </c>
      <c r="B92" s="1">
        <v>0.96625232100915603</v>
      </c>
      <c r="C92" s="1">
        <v>0.969477679766653</v>
      </c>
      <c r="D92" s="1">
        <v>0.96883677944094104</v>
      </c>
      <c r="E92" s="1">
        <v>1.0085049091989899</v>
      </c>
      <c r="F92" s="1">
        <v>1.0085049091989899</v>
      </c>
      <c r="G92" s="1">
        <v>1.0085049091989899</v>
      </c>
      <c r="H92">
        <v>1656</v>
      </c>
      <c r="I92">
        <v>1598</v>
      </c>
      <c r="J92" s="16">
        <f t="shared" si="5"/>
        <v>4.1896264266470688E-2</v>
      </c>
      <c r="K92" s="16">
        <f t="shared" si="6"/>
        <v>3.8698105558389907E-2</v>
      </c>
      <c r="L92" s="16">
        <f t="shared" si="7"/>
        <v>3.933360105262701E-2</v>
      </c>
      <c r="M92" s="16">
        <f t="shared" si="8"/>
        <v>3.933360105262701E-2</v>
      </c>
    </row>
    <row r="93" spans="1:13" x14ac:dyDescent="0.3">
      <c r="A93" t="s">
        <v>100</v>
      </c>
      <c r="B93" s="1">
        <v>1.1768177615763999</v>
      </c>
      <c r="C93" s="1">
        <v>1.93396908360949</v>
      </c>
      <c r="D93" s="1">
        <v>2.0285391015901402</v>
      </c>
      <c r="E93" s="1">
        <v>1.0049479208776499</v>
      </c>
      <c r="F93" s="1">
        <v>1.0049479208776499</v>
      </c>
      <c r="G93" s="1">
        <v>1.0049479208776499</v>
      </c>
      <c r="H93">
        <v>911</v>
      </c>
      <c r="I93">
        <v>752</v>
      </c>
      <c r="J93" s="16">
        <f t="shared" si="5"/>
        <v>-0.17102362931270221</v>
      </c>
      <c r="K93" s="16">
        <f t="shared" si="6"/>
        <v>-0.92444707176517082</v>
      </c>
      <c r="L93" s="16">
        <f t="shared" si="7"/>
        <v>-1.0185514686358659</v>
      </c>
      <c r="M93" s="16">
        <f t="shared" si="8"/>
        <v>0.92444707176517082</v>
      </c>
    </row>
    <row r="94" spans="1:13" x14ac:dyDescent="0.3">
      <c r="A94" t="s">
        <v>101</v>
      </c>
      <c r="B94" s="1">
        <v>0.96623250608590905</v>
      </c>
      <c r="C94" s="1">
        <v>0.97327282993729702</v>
      </c>
      <c r="D94" s="1">
        <v>0.99006120562587796</v>
      </c>
      <c r="E94" s="1">
        <v>0.96465800951625702</v>
      </c>
      <c r="F94" s="1">
        <v>0.96465800951625702</v>
      </c>
      <c r="G94" s="1">
        <v>0.96465800951625702</v>
      </c>
      <c r="H94">
        <v>1338</v>
      </c>
      <c r="I94">
        <v>1261</v>
      </c>
      <c r="J94" s="16">
        <f t="shared" si="5"/>
        <v>-1.6321810985030691E-3</v>
      </c>
      <c r="K94" s="16">
        <f t="shared" si="6"/>
        <v>-8.9304399445768786E-3</v>
      </c>
      <c r="L94" s="16">
        <f t="shared" si="7"/>
        <v>-2.6333888133432671E-2</v>
      </c>
      <c r="M94" s="16">
        <f t="shared" si="8"/>
        <v>8.9304399445768786E-3</v>
      </c>
    </row>
    <row r="95" spans="1:13" x14ac:dyDescent="0.3">
      <c r="A95" t="s">
        <v>102</v>
      </c>
      <c r="B95" s="1">
        <v>1.0135689610163201</v>
      </c>
      <c r="C95" s="1">
        <v>0.985201158043296</v>
      </c>
      <c r="D95" s="1">
        <v>0.98962814843716596</v>
      </c>
      <c r="E95" s="1">
        <v>1.0197500168085101</v>
      </c>
      <c r="F95" s="1">
        <v>1.0197500168085101</v>
      </c>
      <c r="G95" s="1">
        <v>1.0197500168085101</v>
      </c>
      <c r="H95">
        <v>519</v>
      </c>
      <c r="I95">
        <v>470</v>
      </c>
      <c r="J95" s="16">
        <f t="shared" si="5"/>
        <v>6.0613441434741915E-3</v>
      </c>
      <c r="K95" s="16">
        <f t="shared" si="6"/>
        <v>3.387973345991295E-2</v>
      </c>
      <c r="L95" s="16">
        <f t="shared" si="7"/>
        <v>2.9538482838780321E-2</v>
      </c>
      <c r="M95" s="16">
        <f t="shared" si="8"/>
        <v>2.9538482838780321E-2</v>
      </c>
    </row>
    <row r="96" spans="1:13" x14ac:dyDescent="0.3">
      <c r="A96" t="s">
        <v>103</v>
      </c>
      <c r="B96" s="1">
        <v>0.98996398214079595</v>
      </c>
      <c r="C96" s="1">
        <v>0.91469874367090598</v>
      </c>
      <c r="D96" s="1">
        <v>0.92535190169484605</v>
      </c>
      <c r="E96" s="1">
        <v>1.03909123429672</v>
      </c>
      <c r="F96" s="1">
        <v>1.03909123429672</v>
      </c>
      <c r="G96" s="1">
        <v>1.03909123429672</v>
      </c>
      <c r="H96">
        <v>732</v>
      </c>
      <c r="I96">
        <v>519</v>
      </c>
      <c r="J96" s="16">
        <f t="shared" si="5"/>
        <v>4.7279055519291791E-2</v>
      </c>
      <c r="K96" s="16">
        <f t="shared" si="6"/>
        <v>0.11971277065964822</v>
      </c>
      <c r="L96" s="16">
        <f t="shared" si="7"/>
        <v>0.10946039081818958</v>
      </c>
      <c r="M96" s="16">
        <f t="shared" si="8"/>
        <v>0.10946039081818958</v>
      </c>
    </row>
    <row r="97" spans="1:13" x14ac:dyDescent="0.3">
      <c r="A97" t="s">
        <v>104</v>
      </c>
      <c r="B97" s="1">
        <v>1.0023817087057301</v>
      </c>
      <c r="C97" s="1">
        <v>1.0023882368318</v>
      </c>
      <c r="D97" s="1">
        <v>0.98818571500597896</v>
      </c>
      <c r="E97" s="1">
        <v>1.0013181100961499</v>
      </c>
      <c r="F97" s="1">
        <v>1.0013181100961499</v>
      </c>
      <c r="G97" s="1">
        <v>1.0013181100961499</v>
      </c>
      <c r="H97">
        <v>211</v>
      </c>
      <c r="I97">
        <v>208</v>
      </c>
      <c r="J97" s="16">
        <f t="shared" si="5"/>
        <v>-1.0621985149934347E-3</v>
      </c>
      <c r="K97" s="16">
        <f t="shared" si="6"/>
        <v>-1.0687180476016197E-3</v>
      </c>
      <c r="L97" s="16">
        <f t="shared" si="7"/>
        <v>1.3115107933991055E-2</v>
      </c>
      <c r="M97" s="16">
        <f t="shared" si="8"/>
        <v>1.0621985149934347E-3</v>
      </c>
    </row>
    <row r="98" spans="1:13" x14ac:dyDescent="0.3">
      <c r="A98" t="s">
        <v>105</v>
      </c>
      <c r="B98" s="1">
        <v>0.99906588353527204</v>
      </c>
      <c r="C98" s="1">
        <v>0.99910149635567602</v>
      </c>
      <c r="D98" s="1">
        <v>0.99907417994186898</v>
      </c>
      <c r="E98" s="1">
        <v>1.00274854035087</v>
      </c>
      <c r="F98" s="1">
        <v>1.00274854035087</v>
      </c>
      <c r="G98" s="1">
        <v>1.00274854035087</v>
      </c>
      <c r="H98">
        <v>285</v>
      </c>
      <c r="I98">
        <v>285</v>
      </c>
      <c r="J98" s="16">
        <f t="shared" si="5"/>
        <v>3.6725626290210226E-3</v>
      </c>
      <c r="K98" s="16">
        <f t="shared" si="6"/>
        <v>3.6370474235922282E-3</v>
      </c>
      <c r="L98" s="16">
        <f t="shared" si="7"/>
        <v>3.6642889629291842E-3</v>
      </c>
      <c r="M98" s="16">
        <f t="shared" si="8"/>
        <v>3.6642889629291842E-3</v>
      </c>
    </row>
    <row r="99" spans="1:13" x14ac:dyDescent="0.3">
      <c r="A99" t="s">
        <v>106</v>
      </c>
      <c r="B99" s="1">
        <v>0.99437380497371197</v>
      </c>
      <c r="C99" s="1">
        <v>0.99439124017743596</v>
      </c>
      <c r="D99" s="1">
        <v>0.994337166553381</v>
      </c>
      <c r="E99" s="1">
        <v>1.0027893198813</v>
      </c>
      <c r="F99" s="1">
        <v>1.0027893198813</v>
      </c>
      <c r="G99" s="1">
        <v>1.0027893198813</v>
      </c>
      <c r="H99">
        <v>337</v>
      </c>
      <c r="I99">
        <v>337</v>
      </c>
      <c r="J99" s="16">
        <f t="shared" si="5"/>
        <v>8.3921066376975526E-3</v>
      </c>
      <c r="K99" s="16">
        <f t="shared" si="6"/>
        <v>8.3747199310600547E-3</v>
      </c>
      <c r="L99" s="16">
        <f t="shared" si="7"/>
        <v>8.4286431460194669E-3</v>
      </c>
      <c r="M99" s="16">
        <f t="shared" si="8"/>
        <v>8.3921066376975526E-3</v>
      </c>
    </row>
    <row r="100" spans="1:13" x14ac:dyDescent="0.3">
      <c r="A100" t="s">
        <v>107</v>
      </c>
      <c r="B100" s="1">
        <v>0.98167930653826796</v>
      </c>
      <c r="C100" s="1">
        <v>0.982188446102358</v>
      </c>
      <c r="D100" s="1">
        <v>0.96211208916660895</v>
      </c>
      <c r="E100" s="1">
        <v>1.04872002454268</v>
      </c>
      <c r="F100" s="1">
        <v>1.04872002454268</v>
      </c>
      <c r="G100" s="1">
        <v>1.04872002454268</v>
      </c>
      <c r="H100">
        <v>698</v>
      </c>
      <c r="I100">
        <v>656</v>
      </c>
      <c r="J100" s="16">
        <f t="shared" si="5"/>
        <v>6.3926230486203189E-2</v>
      </c>
      <c r="K100" s="16">
        <f t="shared" si="6"/>
        <v>6.3440743843271905E-2</v>
      </c>
      <c r="L100" s="16">
        <f t="shared" si="7"/>
        <v>8.2584420387928167E-2</v>
      </c>
      <c r="M100" s="16">
        <f t="shared" si="8"/>
        <v>6.3926230486203189E-2</v>
      </c>
    </row>
    <row r="101" spans="1:13" x14ac:dyDescent="0.3">
      <c r="A101" t="s">
        <v>108</v>
      </c>
      <c r="B101" s="1">
        <v>1.0189360883784799</v>
      </c>
      <c r="C101" s="1">
        <v>1.0095913548380799</v>
      </c>
      <c r="D101" s="1">
        <v>1.0189494832863299</v>
      </c>
      <c r="E101" s="1">
        <v>1.0055614347432</v>
      </c>
      <c r="F101" s="1">
        <v>1.0055614347432</v>
      </c>
      <c r="G101" s="1">
        <v>1.0055614347432</v>
      </c>
      <c r="H101">
        <v>334</v>
      </c>
      <c r="I101">
        <v>331</v>
      </c>
      <c r="J101" s="16">
        <f t="shared" si="5"/>
        <v>-1.3300682756091888E-2</v>
      </c>
      <c r="K101" s="16">
        <f t="shared" si="6"/>
        <v>-4.0076319115291666E-3</v>
      </c>
      <c r="L101" s="16">
        <f t="shared" si="7"/>
        <v>-1.3314003581043211E-2</v>
      </c>
      <c r="M101" s="16">
        <f t="shared" si="8"/>
        <v>1.3300682756091888E-2</v>
      </c>
    </row>
    <row r="102" spans="1:13" x14ac:dyDescent="0.3">
      <c r="A102" t="s">
        <v>109</v>
      </c>
      <c r="B102" s="1">
        <v>0.92431288962295799</v>
      </c>
      <c r="C102" s="1">
        <v>0.93265029393565202</v>
      </c>
      <c r="D102" s="1">
        <v>0.89531521119123203</v>
      </c>
      <c r="E102" s="1">
        <v>1.0050810854054</v>
      </c>
      <c r="F102" s="1">
        <v>1.0050810854054</v>
      </c>
      <c r="G102" s="1">
        <v>1.0050810854054</v>
      </c>
      <c r="H102">
        <v>482</v>
      </c>
      <c r="I102">
        <v>370</v>
      </c>
      <c r="J102" s="16">
        <f t="shared" si="5"/>
        <v>8.0359880367128877E-2</v>
      </c>
      <c r="K102" s="16">
        <f t="shared" si="6"/>
        <v>7.2064624955640227E-2</v>
      </c>
      <c r="L102" s="16">
        <f t="shared" si="7"/>
        <v>0.10921096397898467</v>
      </c>
      <c r="M102" s="16">
        <f t="shared" si="8"/>
        <v>8.0359880367128877E-2</v>
      </c>
    </row>
    <row r="103" spans="1:13" x14ac:dyDescent="0.3">
      <c r="A103" t="s">
        <v>110</v>
      </c>
      <c r="B103" s="1">
        <v>1.0353139237864999</v>
      </c>
      <c r="C103" s="1">
        <v>1.01725015533102</v>
      </c>
      <c r="D103" s="1">
        <v>1.00772038495142</v>
      </c>
      <c r="E103" s="1">
        <v>1.00467125779816</v>
      </c>
      <c r="F103" s="1">
        <v>1.00467125779816</v>
      </c>
      <c r="G103" s="1">
        <v>1.00467125779816</v>
      </c>
      <c r="H103">
        <v>579</v>
      </c>
      <c r="I103">
        <v>545</v>
      </c>
      <c r="J103" s="16">
        <f t="shared" si="5"/>
        <v>-3.0500191729876308E-2</v>
      </c>
      <c r="K103" s="16">
        <f t="shared" si="6"/>
        <v>-1.2520411463176477E-2</v>
      </c>
      <c r="L103" s="16">
        <f t="shared" si="7"/>
        <v>-3.0349501188502944E-3</v>
      </c>
      <c r="M103" s="16">
        <f t="shared" si="8"/>
        <v>1.2520411463176477E-2</v>
      </c>
    </row>
    <row r="104" spans="1:13" x14ac:dyDescent="0.3">
      <c r="A104" t="s">
        <v>111</v>
      </c>
      <c r="B104" s="1">
        <v>0.94139361734729399</v>
      </c>
      <c r="C104" s="1">
        <v>0.93683207547448699</v>
      </c>
      <c r="D104" s="1">
        <v>0.94453682346733603</v>
      </c>
      <c r="E104" s="1">
        <v>0.96587016574585605</v>
      </c>
      <c r="F104" s="1">
        <v>0.96587016574585605</v>
      </c>
      <c r="G104" s="1">
        <v>0.96587016574585605</v>
      </c>
      <c r="H104">
        <v>854</v>
      </c>
      <c r="I104">
        <v>724</v>
      </c>
      <c r="J104" s="16">
        <f t="shared" si="5"/>
        <v>2.5341447812150805E-2</v>
      </c>
      <c r="K104" s="16">
        <f t="shared" si="6"/>
        <v>3.0064175601640524E-2</v>
      </c>
      <c r="L104" s="16">
        <f t="shared" si="7"/>
        <v>2.2087173861557435E-2</v>
      </c>
      <c r="M104" s="16">
        <f t="shared" si="8"/>
        <v>2.5341447812150805E-2</v>
      </c>
    </row>
    <row r="105" spans="1:13" x14ac:dyDescent="0.3">
      <c r="A105" t="s">
        <v>112</v>
      </c>
      <c r="B105" s="1">
        <v>0.99234504473624496</v>
      </c>
      <c r="C105" s="1">
        <v>0.93955573331984898</v>
      </c>
      <c r="D105" s="1">
        <v>0.91745481876127799</v>
      </c>
      <c r="E105" s="1">
        <v>1.00386831604938</v>
      </c>
      <c r="F105" s="1">
        <v>1.00386831604938</v>
      </c>
      <c r="G105" s="1">
        <v>1.00386831604938</v>
      </c>
      <c r="H105">
        <v>552</v>
      </c>
      <c r="I105">
        <v>324</v>
      </c>
      <c r="J105" s="16">
        <f t="shared" si="5"/>
        <v>1.1478867426042155E-2</v>
      </c>
      <c r="K105" s="16">
        <f t="shared" si="6"/>
        <v>6.4064759990260997E-2</v>
      </c>
      <c r="L105" s="16">
        <f t="shared" si="7"/>
        <v>8.6080510667149432E-2</v>
      </c>
      <c r="M105" s="16">
        <f t="shared" si="8"/>
        <v>6.4064759990260997E-2</v>
      </c>
    </row>
    <row r="106" spans="1:13" x14ac:dyDescent="0.3">
      <c r="A106" t="s">
        <v>113</v>
      </c>
      <c r="B106" s="1">
        <v>1.0114554033465399</v>
      </c>
      <c r="C106" s="1">
        <v>1.60839564171284</v>
      </c>
      <c r="D106" s="1">
        <v>1.26804694763832</v>
      </c>
      <c r="E106" s="1">
        <v>0.86297817281728095</v>
      </c>
      <c r="F106" s="1">
        <v>0.86297817281728095</v>
      </c>
      <c r="G106" s="1">
        <v>0.86297817281728095</v>
      </c>
      <c r="H106">
        <v>1225</v>
      </c>
      <c r="I106">
        <v>1111</v>
      </c>
      <c r="J106" s="16">
        <f t="shared" si="5"/>
        <v>-0.17205212739569045</v>
      </c>
      <c r="K106" s="16">
        <f t="shared" si="6"/>
        <v>-0.86377325913361991</v>
      </c>
      <c r="L106" s="16">
        <f t="shared" si="7"/>
        <v>-0.46938472788790292</v>
      </c>
      <c r="M106" s="16">
        <f t="shared" si="8"/>
        <v>0.46938472788790292</v>
      </c>
    </row>
    <row r="107" spans="1:13" x14ac:dyDescent="0.3">
      <c r="A107" t="s">
        <v>114</v>
      </c>
      <c r="B107" s="1">
        <v>0.97645502307322596</v>
      </c>
      <c r="C107" s="1">
        <v>0.971344755406781</v>
      </c>
      <c r="D107" s="1">
        <v>0.97544129472550201</v>
      </c>
      <c r="E107" s="1">
        <v>1.01575354831223</v>
      </c>
      <c r="F107" s="1">
        <v>1.01575354831223</v>
      </c>
      <c r="G107" s="1">
        <v>1.01575354831223</v>
      </c>
      <c r="H107">
        <v>987</v>
      </c>
      <c r="I107">
        <v>948</v>
      </c>
      <c r="J107" s="16">
        <f t="shared" si="5"/>
        <v>3.8689035646788737E-2</v>
      </c>
      <c r="K107" s="16">
        <f t="shared" si="6"/>
        <v>4.372004703231247E-2</v>
      </c>
      <c r="L107" s="16">
        <f t="shared" si="7"/>
        <v>3.9687041855488041E-2</v>
      </c>
      <c r="M107" s="16">
        <f t="shared" si="8"/>
        <v>3.9687041855488041E-2</v>
      </c>
    </row>
    <row r="108" spans="1:13" x14ac:dyDescent="0.3">
      <c r="A108" t="s">
        <v>115</v>
      </c>
      <c r="B108" s="1">
        <v>0.99705577575928805</v>
      </c>
      <c r="C108" s="1">
        <v>1.1807871728325701</v>
      </c>
      <c r="D108" s="1">
        <v>1.81240953374795</v>
      </c>
      <c r="E108" s="1">
        <v>0.83274239864864796</v>
      </c>
      <c r="F108" s="1">
        <v>0.83274239864864796</v>
      </c>
      <c r="G108" s="1">
        <v>0.83274239864864796</v>
      </c>
      <c r="H108">
        <v>775</v>
      </c>
      <c r="I108">
        <v>740</v>
      </c>
      <c r="J108" s="16">
        <f t="shared" si="5"/>
        <v>-0.19731597355590808</v>
      </c>
      <c r="K108" s="16">
        <f t="shared" si="6"/>
        <v>-0.41795010647796943</v>
      </c>
      <c r="L108" s="16">
        <f t="shared" si="7"/>
        <v>-1.1764347974704779</v>
      </c>
      <c r="M108" s="16">
        <f t="shared" si="8"/>
        <v>0.41795010647796943</v>
      </c>
    </row>
    <row r="109" spans="1:13" x14ac:dyDescent="0.3">
      <c r="A109" t="s">
        <v>116</v>
      </c>
      <c r="B109" s="1">
        <v>1.0881806059249</v>
      </c>
      <c r="C109" s="1">
        <v>1.15114202738771</v>
      </c>
      <c r="D109" s="1">
        <v>1.0711015098082699</v>
      </c>
      <c r="E109" s="1">
        <v>1.0037881436960201</v>
      </c>
      <c r="F109" s="1">
        <v>1.0037881436960201</v>
      </c>
      <c r="G109" s="1">
        <v>1.0037881436960201</v>
      </c>
      <c r="H109">
        <v>1309</v>
      </c>
      <c r="I109">
        <v>1158</v>
      </c>
      <c r="J109" s="16">
        <f t="shared" si="5"/>
        <v>-8.4073977919425058E-2</v>
      </c>
      <c r="K109" s="16">
        <f t="shared" si="6"/>
        <v>-0.14679779255921702</v>
      </c>
      <c r="L109" s="16">
        <f t="shared" si="7"/>
        <v>-6.7059335712411544E-2</v>
      </c>
      <c r="M109" s="16">
        <f t="shared" si="8"/>
        <v>8.4073977919425058E-2</v>
      </c>
    </row>
    <row r="110" spans="1:13" x14ac:dyDescent="0.3">
      <c r="A110" t="s">
        <v>117</v>
      </c>
      <c r="B110" s="1">
        <v>0.97492480350336097</v>
      </c>
      <c r="C110" s="1">
        <v>0.97756486923627295</v>
      </c>
      <c r="D110" s="1">
        <v>0.97885709568410695</v>
      </c>
      <c r="E110" s="1">
        <v>0.96308266932270903</v>
      </c>
      <c r="F110" s="1">
        <v>0.96308266932270903</v>
      </c>
      <c r="G110" s="1">
        <v>0.96308266932270903</v>
      </c>
      <c r="H110">
        <v>763</v>
      </c>
      <c r="I110">
        <v>753</v>
      </c>
      <c r="J110" s="16">
        <f t="shared" si="5"/>
        <v>-1.2296072349614556E-2</v>
      </c>
      <c r="K110" s="16">
        <f t="shared" si="6"/>
        <v>-1.5037338304248143E-2</v>
      </c>
      <c r="L110" s="16">
        <f t="shared" si="7"/>
        <v>-1.6379098974433147E-2</v>
      </c>
      <c r="M110" s="16">
        <f t="shared" si="8"/>
        <v>1.5037338304248143E-2</v>
      </c>
    </row>
    <row r="111" spans="1:13" x14ac:dyDescent="0.3">
      <c r="A111" t="s">
        <v>118</v>
      </c>
      <c r="B111" s="1">
        <v>0.98998506331006797</v>
      </c>
      <c r="C111" s="1">
        <v>0.98998506330950498</v>
      </c>
      <c r="D111" s="1">
        <v>0.99547996041486198</v>
      </c>
      <c r="E111" s="1">
        <v>0.94852083333333304</v>
      </c>
      <c r="F111" s="1">
        <v>0.94852083333333304</v>
      </c>
      <c r="G111" s="1">
        <v>0.94852083333333304</v>
      </c>
      <c r="H111">
        <v>182</v>
      </c>
      <c r="I111">
        <v>180</v>
      </c>
      <c r="J111" s="16">
        <f t="shared" si="5"/>
        <v>-4.3714622304097991E-2</v>
      </c>
      <c r="K111" s="16">
        <f t="shared" si="6"/>
        <v>-4.3714622303504445E-2</v>
      </c>
      <c r="L111" s="16">
        <f t="shared" si="7"/>
        <v>-4.9507744512582962E-2</v>
      </c>
      <c r="M111" s="16">
        <f t="shared" si="8"/>
        <v>4.3714622304097991E-2</v>
      </c>
    </row>
    <row r="112" spans="1:13" x14ac:dyDescent="0.3">
      <c r="A112" t="s">
        <v>119</v>
      </c>
      <c r="B112" s="1">
        <v>1.34859088392585</v>
      </c>
      <c r="C112" s="1">
        <v>2.9238750743985902</v>
      </c>
      <c r="D112" s="1">
        <v>1.07593724466138</v>
      </c>
      <c r="E112" s="1">
        <v>1.00605415867507</v>
      </c>
      <c r="F112" s="1">
        <v>1.00605415867507</v>
      </c>
      <c r="G112" s="1">
        <v>1.00605415867507</v>
      </c>
      <c r="H112">
        <v>1079</v>
      </c>
      <c r="I112">
        <v>951</v>
      </c>
      <c r="J112" s="16">
        <f t="shared" si="5"/>
        <v>-0.34047543295470911</v>
      </c>
      <c r="K112" s="16">
        <f t="shared" si="6"/>
        <v>-1.9062799941597655</v>
      </c>
      <c r="L112" s="16">
        <f t="shared" si="7"/>
        <v>-6.9462548694538481E-2</v>
      </c>
      <c r="M112" s="16">
        <f t="shared" si="8"/>
        <v>0.34047543295470911</v>
      </c>
    </row>
    <row r="113" spans="1:13" x14ac:dyDescent="0.3">
      <c r="A113" t="s">
        <v>120</v>
      </c>
      <c r="B113" s="1">
        <v>0.99059867200740603</v>
      </c>
      <c r="C113" s="1">
        <v>0.94032771087567302</v>
      </c>
      <c r="D113" s="1">
        <v>0.966731162780885</v>
      </c>
      <c r="E113" s="1">
        <v>1.00577961332378</v>
      </c>
      <c r="F113" s="1">
        <v>1.00577961332378</v>
      </c>
      <c r="G113" s="1">
        <v>1.00577961332378</v>
      </c>
      <c r="H113">
        <v>757</v>
      </c>
      <c r="I113">
        <v>698</v>
      </c>
      <c r="J113" s="16">
        <f t="shared" si="5"/>
        <v>1.509370553476002E-2</v>
      </c>
      <c r="K113" s="16">
        <f t="shared" si="6"/>
        <v>6.5075789547781093E-2</v>
      </c>
      <c r="L113" s="16">
        <f t="shared" si="7"/>
        <v>3.8824062474136181E-2</v>
      </c>
      <c r="M113" s="16">
        <f t="shared" si="8"/>
        <v>3.8824062474136181E-2</v>
      </c>
    </row>
    <row r="114" spans="1:13" x14ac:dyDescent="0.3">
      <c r="A114" t="s">
        <v>121</v>
      </c>
      <c r="B114" s="1">
        <v>0.992914813769747</v>
      </c>
      <c r="C114" s="1">
        <v>0.992541657317494</v>
      </c>
      <c r="D114" s="1">
        <v>3.1012340625291701</v>
      </c>
      <c r="E114" s="1">
        <v>0.934838195077484</v>
      </c>
      <c r="F114" s="1">
        <v>0.934838195077484</v>
      </c>
      <c r="G114" s="1">
        <v>0.934838195077484</v>
      </c>
      <c r="H114">
        <v>1133</v>
      </c>
      <c r="I114">
        <v>1097</v>
      </c>
      <c r="J114" s="16">
        <f t="shared" si="5"/>
        <v>-6.2124781591160076E-2</v>
      </c>
      <c r="K114" s="16">
        <f t="shared" si="6"/>
        <v>-6.1725614704079619E-2</v>
      </c>
      <c r="L114" s="16">
        <f t="shared" si="7"/>
        <v>-2.317401962028439</v>
      </c>
      <c r="M114" s="16">
        <f t="shared" si="8"/>
        <v>6.2124781591160076E-2</v>
      </c>
    </row>
    <row r="115" spans="1:13" x14ac:dyDescent="0.3">
      <c r="A115" t="s">
        <v>122</v>
      </c>
      <c r="B115" s="1">
        <v>0.99725941479515801</v>
      </c>
      <c r="C115" s="1">
        <v>0.99725941479670999</v>
      </c>
      <c r="D115" s="1">
        <v>0.99725941479512903</v>
      </c>
      <c r="E115" s="1">
        <v>0.93450921052631497</v>
      </c>
      <c r="F115" s="1">
        <v>0.93450921052631497</v>
      </c>
      <c r="G115" s="1">
        <v>0.93450921052631497</v>
      </c>
      <c r="H115">
        <v>475</v>
      </c>
      <c r="I115">
        <v>475</v>
      </c>
      <c r="J115" s="16">
        <f t="shared" si="5"/>
        <v>-6.714776436874513E-2</v>
      </c>
      <c r="K115" s="16">
        <f t="shared" si="6"/>
        <v>-6.7147764370405871E-2</v>
      </c>
      <c r="L115" s="16">
        <f t="shared" si="7"/>
        <v>-6.7147764368714127E-2</v>
      </c>
      <c r="M115" s="16">
        <f t="shared" si="8"/>
        <v>6.714776436874513E-2</v>
      </c>
    </row>
    <row r="116" spans="1:13" x14ac:dyDescent="0.3">
      <c r="A116" t="s">
        <v>123</v>
      </c>
      <c r="B116" s="1">
        <v>0.97935834717488501</v>
      </c>
      <c r="C116" s="1">
        <v>0.97935850123554902</v>
      </c>
      <c r="D116" s="1">
        <v>0.97935850480251097</v>
      </c>
      <c r="E116" s="1">
        <v>0.97018581081081001</v>
      </c>
      <c r="F116" s="1">
        <v>0.97018581081081001</v>
      </c>
      <c r="G116" s="1">
        <v>0.97018581081081001</v>
      </c>
      <c r="H116">
        <v>222</v>
      </c>
      <c r="I116">
        <v>222</v>
      </c>
      <c r="J116" s="16">
        <f t="shared" si="5"/>
        <v>-9.4544119918732565E-3</v>
      </c>
      <c r="K116" s="16">
        <f t="shared" si="6"/>
        <v>-9.4545707868816838E-3</v>
      </c>
      <c r="L116" s="16">
        <f t="shared" si="7"/>
        <v>-9.4545744634577673E-3</v>
      </c>
      <c r="M116" s="16">
        <f t="shared" si="8"/>
        <v>9.4545707868816838E-3</v>
      </c>
    </row>
    <row r="117" spans="1:13" x14ac:dyDescent="0.3">
      <c r="A117" t="s">
        <v>124</v>
      </c>
      <c r="B117" s="1">
        <v>0.99085773679518196</v>
      </c>
      <c r="C117" s="1">
        <v>0.99088094242751501</v>
      </c>
      <c r="D117" s="1">
        <v>0.99177847391392704</v>
      </c>
      <c r="E117" s="1">
        <v>1.02223841747042</v>
      </c>
      <c r="F117" s="1">
        <v>1.02223841747042</v>
      </c>
      <c r="G117" s="1">
        <v>1.02223841747042</v>
      </c>
      <c r="H117">
        <v>1101</v>
      </c>
      <c r="I117">
        <v>1099</v>
      </c>
      <c r="J117" s="16">
        <f t="shared" si="5"/>
        <v>3.0698005610952372E-2</v>
      </c>
      <c r="K117" s="16">
        <f t="shared" si="6"/>
        <v>3.067530480854028E-2</v>
      </c>
      <c r="L117" s="16">
        <f t="shared" si="7"/>
        <v>2.9797298786586015E-2</v>
      </c>
      <c r="M117" s="16">
        <f t="shared" si="8"/>
        <v>3.067530480854028E-2</v>
      </c>
    </row>
    <row r="118" spans="1:13" x14ac:dyDescent="0.3">
      <c r="A118" t="s">
        <v>125</v>
      </c>
      <c r="B118" s="1">
        <v>0.89838629883663002</v>
      </c>
      <c r="C118" s="1">
        <v>0.93226060454043602</v>
      </c>
      <c r="D118" s="1">
        <v>0.90265482023268095</v>
      </c>
      <c r="E118" s="1">
        <v>1.0121051557507901</v>
      </c>
      <c r="F118" s="1">
        <v>1.0121051557507901</v>
      </c>
      <c r="G118" s="1">
        <v>1.0121051557507901</v>
      </c>
      <c r="H118">
        <v>861</v>
      </c>
      <c r="I118">
        <v>626</v>
      </c>
      <c r="J118" s="16">
        <f t="shared" si="5"/>
        <v>0.1123587369039754</v>
      </c>
      <c r="K118" s="16">
        <f t="shared" si="6"/>
        <v>7.8889580550673646E-2</v>
      </c>
      <c r="L118" s="16">
        <f t="shared" si="7"/>
        <v>0.10814126861839542</v>
      </c>
      <c r="M118" s="16">
        <f t="shared" si="8"/>
        <v>0.10814126861839542</v>
      </c>
    </row>
    <row r="119" spans="1:13" x14ac:dyDescent="0.3">
      <c r="A119" t="s">
        <v>126</v>
      </c>
      <c r="B119" s="1">
        <v>0.99701970322628197</v>
      </c>
      <c r="C119" s="1">
        <v>0.99334348614316703</v>
      </c>
      <c r="D119" s="1">
        <v>0.99701916792635903</v>
      </c>
      <c r="E119" s="1">
        <v>1.0054718183823499</v>
      </c>
      <c r="F119" s="1">
        <v>1.0054718183823499</v>
      </c>
      <c r="G119" s="1">
        <v>1.0054718183823499</v>
      </c>
      <c r="H119">
        <v>273</v>
      </c>
      <c r="I119">
        <v>272</v>
      </c>
      <c r="J119" s="16">
        <f t="shared" si="5"/>
        <v>8.4061184028669019E-3</v>
      </c>
      <c r="K119" s="16">
        <f t="shared" si="6"/>
        <v>1.2062329363636952E-2</v>
      </c>
      <c r="L119" s="16">
        <f t="shared" si="7"/>
        <v>8.4066507896659714E-3</v>
      </c>
      <c r="M119" s="16">
        <f t="shared" si="8"/>
        <v>8.4066507896659714E-3</v>
      </c>
    </row>
    <row r="120" spans="1:13" x14ac:dyDescent="0.3">
      <c r="A120" t="s">
        <v>127</v>
      </c>
      <c r="B120" s="1">
        <v>0.99488467295982697</v>
      </c>
      <c r="C120" s="1">
        <v>1.16388394642627</v>
      </c>
      <c r="D120" s="1">
        <v>0.99457582235048503</v>
      </c>
      <c r="E120" s="1">
        <v>1.01967176241534</v>
      </c>
      <c r="F120" s="1">
        <v>1.01967176241534</v>
      </c>
      <c r="G120" s="1">
        <v>1.01967176241534</v>
      </c>
      <c r="H120">
        <v>939</v>
      </c>
      <c r="I120">
        <v>886</v>
      </c>
      <c r="J120" s="16">
        <f t="shared" si="5"/>
        <v>2.4308890732443904E-2</v>
      </c>
      <c r="K120" s="16">
        <f t="shared" si="6"/>
        <v>-0.14143000652418627</v>
      </c>
      <c r="L120" s="16">
        <f t="shared" si="7"/>
        <v>2.4611782918661115E-2</v>
      </c>
      <c r="M120" s="16">
        <f t="shared" si="8"/>
        <v>2.4308890732443904E-2</v>
      </c>
    </row>
    <row r="121" spans="1:13" x14ac:dyDescent="0.3">
      <c r="A121" t="s">
        <v>128</v>
      </c>
      <c r="B121" s="1">
        <v>1.00485942622761</v>
      </c>
      <c r="C121" s="1">
        <v>1.0049616234493901</v>
      </c>
      <c r="D121" s="1">
        <v>1.00476608264859</v>
      </c>
      <c r="E121" s="1">
        <v>1.0011691552238799</v>
      </c>
      <c r="F121" s="1">
        <v>1.0011691552238799</v>
      </c>
      <c r="G121" s="1">
        <v>1.0011691552238799</v>
      </c>
      <c r="H121">
        <v>335</v>
      </c>
      <c r="I121">
        <v>335</v>
      </c>
      <c r="J121" s="16">
        <f t="shared" si="5"/>
        <v>-3.6859615425376161E-3</v>
      </c>
      <c r="K121" s="16">
        <f t="shared" si="6"/>
        <v>-3.7880394194346641E-3</v>
      </c>
      <c r="L121" s="16">
        <f t="shared" si="7"/>
        <v>-3.592726969206051E-3</v>
      </c>
      <c r="M121" s="16">
        <f t="shared" si="8"/>
        <v>3.6859615425376161E-3</v>
      </c>
    </row>
    <row r="122" spans="1:13" x14ac:dyDescent="0.3">
      <c r="A122" t="s">
        <v>129</v>
      </c>
      <c r="B122" s="1">
        <v>1.0399966975797901</v>
      </c>
      <c r="C122" s="1">
        <v>1.2848656419117399</v>
      </c>
      <c r="D122" s="1">
        <v>1.28644155737151</v>
      </c>
      <c r="E122" s="1">
        <v>1.0048584011894599</v>
      </c>
      <c r="F122" s="1">
        <v>1.0048584011894599</v>
      </c>
      <c r="G122" s="1">
        <v>1.0048584011894599</v>
      </c>
      <c r="H122">
        <v>1295</v>
      </c>
      <c r="I122">
        <v>1177</v>
      </c>
      <c r="J122" s="16">
        <f t="shared" si="5"/>
        <v>-3.4968405845775541E-2</v>
      </c>
      <c r="K122" s="16">
        <f t="shared" si="6"/>
        <v>-0.27865343056378183</v>
      </c>
      <c r="L122" s="16">
        <f t="shared" si="7"/>
        <v>-0.28022172661216505</v>
      </c>
      <c r="M122" s="16">
        <f t="shared" si="8"/>
        <v>0.27865343056378183</v>
      </c>
    </row>
    <row r="123" spans="1:13" x14ac:dyDescent="0.3">
      <c r="A123" t="s">
        <v>130</v>
      </c>
      <c r="B123" s="1">
        <v>0.97441529566840701</v>
      </c>
      <c r="C123" s="1">
        <v>0.97435463580155601</v>
      </c>
      <c r="D123" s="1">
        <v>0.98420902233829299</v>
      </c>
      <c r="E123" s="1">
        <v>1.0049296018965499</v>
      </c>
      <c r="F123" s="1">
        <v>1.0049296018965499</v>
      </c>
      <c r="G123" s="1">
        <v>1.0049296018965499</v>
      </c>
      <c r="H123">
        <v>610</v>
      </c>
      <c r="I123">
        <v>580</v>
      </c>
      <c r="J123" s="16">
        <f t="shared" si="5"/>
        <v>3.0364620736173825E-2</v>
      </c>
      <c r="K123" s="16">
        <f t="shared" si="6"/>
        <v>3.0424983040893E-2</v>
      </c>
      <c r="L123" s="16">
        <f t="shared" si="7"/>
        <v>2.061893641022422E-2</v>
      </c>
      <c r="M123" s="16">
        <f t="shared" si="8"/>
        <v>3.0364620736173825E-2</v>
      </c>
    </row>
    <row r="124" spans="1:13" x14ac:dyDescent="0.3">
      <c r="A124" t="s">
        <v>131</v>
      </c>
      <c r="B124" s="1">
        <v>1.0041428736522</v>
      </c>
      <c r="C124" s="1">
        <v>1.0041648089109101</v>
      </c>
      <c r="D124" s="1">
        <v>1.0041756385256799</v>
      </c>
      <c r="E124" s="1">
        <v>1.0186364958174901</v>
      </c>
      <c r="F124" s="1">
        <v>1.0186364958174901</v>
      </c>
      <c r="G124" s="1">
        <v>1.0186364958174901</v>
      </c>
      <c r="H124">
        <v>263</v>
      </c>
      <c r="I124">
        <v>263</v>
      </c>
      <c r="J124" s="16">
        <f t="shared" si="5"/>
        <v>1.422845364838261E-2</v>
      </c>
      <c r="K124" s="16">
        <f t="shared" si="6"/>
        <v>1.4206919706883215E-2</v>
      </c>
      <c r="L124" s="16">
        <f t="shared" si="7"/>
        <v>1.419628822566857E-2</v>
      </c>
      <c r="M124" s="16">
        <f t="shared" si="8"/>
        <v>1.4206919706883215E-2</v>
      </c>
    </row>
    <row r="125" spans="1:13" x14ac:dyDescent="0.3">
      <c r="A125" t="s">
        <v>132</v>
      </c>
      <c r="B125" s="1">
        <v>4.3985569745583799</v>
      </c>
      <c r="C125" s="1">
        <v>4.53450665459407</v>
      </c>
      <c r="D125" s="1">
        <v>4.5642667095009397</v>
      </c>
      <c r="E125" s="1">
        <v>1.0331099938144299</v>
      </c>
      <c r="F125" s="1">
        <v>1.0331099938144299</v>
      </c>
      <c r="G125" s="1">
        <v>1.0331099938144299</v>
      </c>
      <c r="H125">
        <v>1628</v>
      </c>
      <c r="I125">
        <v>1552</v>
      </c>
      <c r="J125" s="16">
        <f t="shared" si="5"/>
        <v>-3.2575882538103302</v>
      </c>
      <c r="K125" s="16">
        <f t="shared" si="6"/>
        <v>-3.3891809020759225</v>
      </c>
      <c r="L125" s="16">
        <f t="shared" si="7"/>
        <v>-3.4179871812572804</v>
      </c>
      <c r="M125" s="16">
        <f t="shared" si="8"/>
        <v>3.3891809020759225</v>
      </c>
    </row>
    <row r="126" spans="1:13" x14ac:dyDescent="0.3">
      <c r="A126" t="s">
        <v>133</v>
      </c>
      <c r="B126" s="1">
        <v>0.99498851463656901</v>
      </c>
      <c r="C126" s="1">
        <v>0.98033985688050396</v>
      </c>
      <c r="D126" s="1">
        <v>0.98920274658520801</v>
      </c>
      <c r="E126" s="1">
        <v>0.98287686567164101</v>
      </c>
      <c r="F126" s="1">
        <v>0.98287686567164101</v>
      </c>
      <c r="G126" s="1">
        <v>0.98287686567164101</v>
      </c>
      <c r="H126">
        <v>342</v>
      </c>
      <c r="I126">
        <v>335</v>
      </c>
      <c r="J126" s="16">
        <f t="shared" si="5"/>
        <v>-1.2322651379785608E-2</v>
      </c>
      <c r="K126" s="16">
        <f t="shared" si="6"/>
        <v>2.5812071478591649E-3</v>
      </c>
      <c r="L126" s="16">
        <f t="shared" si="7"/>
        <v>-6.4360868940019928E-3</v>
      </c>
      <c r="M126" s="16">
        <f t="shared" si="8"/>
        <v>6.4360868940019928E-3</v>
      </c>
    </row>
    <row r="127" spans="1:13" x14ac:dyDescent="0.3">
      <c r="A127" t="s">
        <v>134</v>
      </c>
      <c r="B127" s="1">
        <v>1.00121441272086</v>
      </c>
      <c r="C127" s="1">
        <v>1.00115806604291</v>
      </c>
      <c r="D127" s="1">
        <v>1.00120299930252</v>
      </c>
      <c r="E127" s="1">
        <v>1.0003802592233</v>
      </c>
      <c r="F127" s="1">
        <v>1.0003802592233</v>
      </c>
      <c r="G127" s="1">
        <v>1.0003802592233</v>
      </c>
      <c r="H127">
        <v>206</v>
      </c>
      <c r="I127">
        <v>206</v>
      </c>
      <c r="J127" s="16">
        <f t="shared" si="5"/>
        <v>-8.3383642356921173E-4</v>
      </c>
      <c r="K127" s="16">
        <f t="shared" si="6"/>
        <v>-7.7751116381877771E-4</v>
      </c>
      <c r="L127" s="16">
        <f t="shared" si="7"/>
        <v>-8.2242734363709581E-4</v>
      </c>
      <c r="M127" s="16">
        <f t="shared" si="8"/>
        <v>8.2242734363709581E-4</v>
      </c>
    </row>
    <row r="128" spans="1:13" x14ac:dyDescent="0.3">
      <c r="A128" t="s">
        <v>135</v>
      </c>
      <c r="B128" s="1">
        <v>1.0369364816301501</v>
      </c>
      <c r="C128" s="1">
        <v>1.03693648168666</v>
      </c>
      <c r="D128" s="1">
        <v>1.0369364816614499</v>
      </c>
      <c r="E128" s="1">
        <v>1.00333807102272</v>
      </c>
      <c r="F128" s="1">
        <v>1.00333807102272</v>
      </c>
      <c r="G128" s="1">
        <v>1.00333807102272</v>
      </c>
      <c r="H128">
        <v>176</v>
      </c>
      <c r="I128">
        <v>176</v>
      </c>
      <c r="J128" s="16">
        <f t="shared" si="5"/>
        <v>-3.3486629858650363E-2</v>
      </c>
      <c r="K128" s="16">
        <f t="shared" si="6"/>
        <v>-3.3486629914972262E-2</v>
      </c>
      <c r="L128" s="16">
        <f t="shared" si="7"/>
        <v>-3.3486629889846083E-2</v>
      </c>
      <c r="M128" s="16">
        <f t="shared" si="8"/>
        <v>3.3486629889846083E-2</v>
      </c>
    </row>
    <row r="129" spans="1:13" x14ac:dyDescent="0.3">
      <c r="A129" t="s">
        <v>136</v>
      </c>
      <c r="B129" s="1">
        <v>0.98772201086812905</v>
      </c>
      <c r="C129" s="1">
        <v>0.97713204624753702</v>
      </c>
      <c r="D129" s="1">
        <v>0.98771756962422097</v>
      </c>
      <c r="E129" s="1">
        <v>1.0071646402439001</v>
      </c>
      <c r="F129" s="1">
        <v>1.0071646402439001</v>
      </c>
      <c r="G129" s="1">
        <v>1.0071646402439001</v>
      </c>
      <c r="H129">
        <v>663</v>
      </c>
      <c r="I129">
        <v>656</v>
      </c>
      <c r="J129" s="16">
        <f t="shared" si="5"/>
        <v>1.9304320861644516E-2</v>
      </c>
      <c r="K129" s="16">
        <f t="shared" si="6"/>
        <v>2.9818951933310724E-2</v>
      </c>
      <c r="L129" s="16">
        <f t="shared" si="7"/>
        <v>1.9308730511994242E-2</v>
      </c>
      <c r="M129" s="16">
        <f t="shared" si="8"/>
        <v>1.9308730511994242E-2</v>
      </c>
    </row>
    <row r="130" spans="1:13" x14ac:dyDescent="0.3">
      <c r="A130" t="s">
        <v>137</v>
      </c>
      <c r="B130" s="1">
        <v>0.96310142313769198</v>
      </c>
      <c r="C130" s="1">
        <v>0.96638943561003499</v>
      </c>
      <c r="D130" s="1">
        <v>0.96641243526162102</v>
      </c>
      <c r="E130" s="1">
        <v>1.0065657797438801</v>
      </c>
      <c r="F130" s="1">
        <v>1.0065657797438801</v>
      </c>
      <c r="G130" s="1">
        <v>1.0065657797438801</v>
      </c>
      <c r="H130">
        <v>895</v>
      </c>
      <c r="I130">
        <v>859</v>
      </c>
      <c r="J130" s="16">
        <f t="shared" si="5"/>
        <v>4.3180840716885445E-2</v>
      </c>
      <c r="K130" s="16">
        <f t="shared" si="6"/>
        <v>3.9914275790369026E-2</v>
      </c>
      <c r="L130" s="16">
        <f t="shared" si="7"/>
        <v>3.9891426164394381E-2</v>
      </c>
      <c r="M130" s="16">
        <f t="shared" si="8"/>
        <v>3.9914275790369026E-2</v>
      </c>
    </row>
    <row r="131" spans="1:13" x14ac:dyDescent="0.3">
      <c r="A131" t="s">
        <v>138</v>
      </c>
      <c r="B131" s="1">
        <v>0.97828556445568304</v>
      </c>
      <c r="C131" s="1">
        <v>1.04900813960136</v>
      </c>
      <c r="D131" s="1">
        <v>1.0038920419394699</v>
      </c>
      <c r="E131" s="1">
        <v>1.0061248337448501</v>
      </c>
      <c r="F131" s="1">
        <v>1.0061248337448501</v>
      </c>
      <c r="G131" s="1">
        <v>1.0061248337448501</v>
      </c>
      <c r="H131">
        <v>1301</v>
      </c>
      <c r="I131">
        <v>1215</v>
      </c>
      <c r="J131" s="16">
        <f t="shared" ref="J131:J194" si="9">(E131-B131)/E131</f>
        <v>2.766979638654558E-2</v>
      </c>
      <c r="K131" s="16">
        <f t="shared" ref="K131:K194" si="10">(F131-C131)/F131</f>
        <v>-4.262225165131444E-2</v>
      </c>
      <c r="L131" s="16">
        <f t="shared" ref="L131:L194" si="11">(G131-D131)/G131</f>
        <v>2.2191995769248567E-3</v>
      </c>
      <c r="M131" s="16">
        <f t="shared" ref="M131:M194" si="12">ABS(MEDIAN(J131:L131))</f>
        <v>2.2191995769248567E-3</v>
      </c>
    </row>
    <row r="132" spans="1:13" x14ac:dyDescent="0.3">
      <c r="A132" t="s">
        <v>139</v>
      </c>
      <c r="B132" s="1">
        <v>0.96535182616188797</v>
      </c>
      <c r="C132" s="1">
        <v>1.0196807587833401</v>
      </c>
      <c r="D132" s="1">
        <v>0.95876871056454505</v>
      </c>
      <c r="E132" s="1">
        <v>1.00689043796296</v>
      </c>
      <c r="F132" s="1">
        <v>1.00689043796296</v>
      </c>
      <c r="G132" s="1">
        <v>1.00689043796296</v>
      </c>
      <c r="H132">
        <v>914</v>
      </c>
      <c r="I132">
        <v>864</v>
      </c>
      <c r="J132" s="16">
        <f t="shared" si="9"/>
        <v>4.1254351253060616E-2</v>
      </c>
      <c r="K132" s="16">
        <f t="shared" si="10"/>
        <v>-1.2702793013166574E-2</v>
      </c>
      <c r="L132" s="16">
        <f t="shared" si="11"/>
        <v>4.7792416715933844E-2</v>
      </c>
      <c r="M132" s="16">
        <f t="shared" si="12"/>
        <v>4.1254351253060616E-2</v>
      </c>
    </row>
    <row r="133" spans="1:13" x14ac:dyDescent="0.3">
      <c r="A133" t="s">
        <v>140</v>
      </c>
      <c r="B133" s="1">
        <v>0.97509517895515996</v>
      </c>
      <c r="C133" s="1">
        <v>0.98291727724191602</v>
      </c>
      <c r="D133" s="1">
        <v>0.96358652736799799</v>
      </c>
      <c r="E133" s="1">
        <v>0.97113844524793302</v>
      </c>
      <c r="F133" s="1">
        <v>0.97113844524793302</v>
      </c>
      <c r="G133" s="1">
        <v>0.97113844524793302</v>
      </c>
      <c r="H133">
        <v>513</v>
      </c>
      <c r="I133">
        <v>484</v>
      </c>
      <c r="J133" s="16">
        <f t="shared" si="9"/>
        <v>-4.0743250631137089E-3</v>
      </c>
      <c r="K133" s="16">
        <f t="shared" si="10"/>
        <v>-1.2128890635130653E-2</v>
      </c>
      <c r="L133" s="16">
        <f t="shared" si="11"/>
        <v>7.7763555926436603E-3</v>
      </c>
      <c r="M133" s="16">
        <f t="shared" si="12"/>
        <v>4.0743250631137089E-3</v>
      </c>
    </row>
    <row r="134" spans="1:13" x14ac:dyDescent="0.3">
      <c r="A134" t="s">
        <v>141</v>
      </c>
      <c r="B134" s="1">
        <v>0.97127518060167695</v>
      </c>
      <c r="C134" s="1">
        <v>0.92328325874395401</v>
      </c>
      <c r="D134" s="1">
        <v>0.925357331969765</v>
      </c>
      <c r="E134" s="1">
        <v>1.0156447991620099</v>
      </c>
      <c r="F134" s="1">
        <v>1.0156447991620099</v>
      </c>
      <c r="G134" s="1">
        <v>1.0156447991620099</v>
      </c>
      <c r="H134">
        <v>438</v>
      </c>
      <c r="I134">
        <v>358</v>
      </c>
      <c r="J134" s="16">
        <f t="shared" si="9"/>
        <v>4.3686157401624577E-2</v>
      </c>
      <c r="K134" s="16">
        <f t="shared" si="10"/>
        <v>9.0938820830138364E-2</v>
      </c>
      <c r="L134" s="16">
        <f t="shared" si="11"/>
        <v>8.8896696233505504E-2</v>
      </c>
      <c r="M134" s="16">
        <f t="shared" si="12"/>
        <v>8.8896696233505504E-2</v>
      </c>
    </row>
    <row r="135" spans="1:13" x14ac:dyDescent="0.3">
      <c r="A135" t="s">
        <v>142</v>
      </c>
      <c r="B135" s="1">
        <v>0.95595212717765699</v>
      </c>
      <c r="C135" s="1">
        <v>0.96491664372691699</v>
      </c>
      <c r="D135" s="1">
        <v>0.95497409326396099</v>
      </c>
      <c r="E135" s="1">
        <v>0.96472204871955003</v>
      </c>
      <c r="F135" s="1">
        <v>0.96472204871955003</v>
      </c>
      <c r="G135" s="1">
        <v>0.96472204871955003</v>
      </c>
      <c r="H135">
        <v>1803</v>
      </c>
      <c r="I135">
        <v>1601</v>
      </c>
      <c r="J135" s="16">
        <f t="shared" si="9"/>
        <v>9.0906199910462584E-3</v>
      </c>
      <c r="K135" s="16">
        <f t="shared" si="10"/>
        <v>-2.0171095666906422E-4</v>
      </c>
      <c r="L135" s="16">
        <f t="shared" si="11"/>
        <v>1.010441864423773E-2</v>
      </c>
      <c r="M135" s="16">
        <f t="shared" si="12"/>
        <v>9.0906199910462584E-3</v>
      </c>
    </row>
    <row r="136" spans="1:13" x14ac:dyDescent="0.3">
      <c r="A136" t="s">
        <v>143</v>
      </c>
      <c r="B136" s="1">
        <v>0.96831244134608796</v>
      </c>
      <c r="C136" s="1">
        <v>0.96591622340504202</v>
      </c>
      <c r="D136" s="1">
        <v>0.97430307662070903</v>
      </c>
      <c r="E136" s="1">
        <v>1.0335040445783099</v>
      </c>
      <c r="F136" s="1">
        <v>1.0335040445783099</v>
      </c>
      <c r="G136" s="1">
        <v>1.0335040445783099</v>
      </c>
      <c r="H136">
        <v>856</v>
      </c>
      <c r="I136">
        <v>747</v>
      </c>
      <c r="J136" s="16">
        <f t="shared" si="9"/>
        <v>6.3078227486590449E-2</v>
      </c>
      <c r="K136" s="16">
        <f t="shared" si="10"/>
        <v>6.53967650420227E-2</v>
      </c>
      <c r="L136" s="16">
        <f t="shared" si="11"/>
        <v>5.7281796107296362E-2</v>
      </c>
      <c r="M136" s="16">
        <f t="shared" si="12"/>
        <v>6.3078227486590449E-2</v>
      </c>
    </row>
    <row r="137" spans="1:13" x14ac:dyDescent="0.3">
      <c r="A137" t="s">
        <v>144</v>
      </c>
      <c r="B137" s="1">
        <v>0.963046971805258</v>
      </c>
      <c r="C137" s="1">
        <v>0.92882553516701505</v>
      </c>
      <c r="D137" s="1">
        <v>0.92590774046218605</v>
      </c>
      <c r="E137" s="1">
        <v>1.00488473582766</v>
      </c>
      <c r="F137" s="1">
        <v>1.00488473582766</v>
      </c>
      <c r="G137" s="1">
        <v>1.00488473582766</v>
      </c>
      <c r="H137">
        <v>574</v>
      </c>
      <c r="I137">
        <v>441</v>
      </c>
      <c r="J137" s="16">
        <f t="shared" si="9"/>
        <v>4.1634391020919335E-2</v>
      </c>
      <c r="K137" s="16">
        <f t="shared" si="10"/>
        <v>7.568947755784132E-2</v>
      </c>
      <c r="L137" s="16">
        <f t="shared" si="11"/>
        <v>7.8593088888374463E-2</v>
      </c>
      <c r="M137" s="16">
        <f t="shared" si="12"/>
        <v>7.568947755784132E-2</v>
      </c>
    </row>
    <row r="138" spans="1:13" x14ac:dyDescent="0.3">
      <c r="A138" t="s">
        <v>145</v>
      </c>
      <c r="B138" s="1">
        <v>0.99199333013934499</v>
      </c>
      <c r="C138" s="1">
        <v>0.99199690830272302</v>
      </c>
      <c r="D138" s="1">
        <v>0.97837480935905097</v>
      </c>
      <c r="E138" s="1">
        <v>0.97557227592267104</v>
      </c>
      <c r="F138" s="1">
        <v>0.97557227592267104</v>
      </c>
      <c r="G138" s="1">
        <v>0.97557227592267104</v>
      </c>
      <c r="H138">
        <v>577</v>
      </c>
      <c r="I138">
        <v>569</v>
      </c>
      <c r="J138" s="16">
        <f t="shared" si="9"/>
        <v>-1.6832227218781241E-2</v>
      </c>
      <c r="K138" s="16">
        <f t="shared" si="10"/>
        <v>-1.6835894977148661E-2</v>
      </c>
      <c r="L138" s="16">
        <f t="shared" si="11"/>
        <v>-2.8727071335943452E-3</v>
      </c>
      <c r="M138" s="16">
        <f t="shared" si="12"/>
        <v>1.6832227218781241E-2</v>
      </c>
    </row>
    <row r="139" spans="1:13" x14ac:dyDescent="0.3">
      <c r="A139" t="s">
        <v>146</v>
      </c>
      <c r="B139" s="1">
        <v>0.98295193562946104</v>
      </c>
      <c r="C139" s="1">
        <v>0.97068864750346295</v>
      </c>
      <c r="D139" s="1">
        <v>0.98068114284742103</v>
      </c>
      <c r="E139" s="1">
        <v>1.00585249540229</v>
      </c>
      <c r="F139" s="1">
        <v>1.00585249540229</v>
      </c>
      <c r="G139" s="1">
        <v>1.00585249540229</v>
      </c>
      <c r="H139">
        <v>442</v>
      </c>
      <c r="I139">
        <v>435</v>
      </c>
      <c r="J139" s="16">
        <f t="shared" si="9"/>
        <v>2.2767314171318873E-2</v>
      </c>
      <c r="K139" s="16">
        <f t="shared" si="10"/>
        <v>3.4959249054468303E-2</v>
      </c>
      <c r="L139" s="16">
        <f t="shared" si="11"/>
        <v>2.5024894475011224E-2</v>
      </c>
      <c r="M139" s="16">
        <f t="shared" si="12"/>
        <v>2.5024894475011224E-2</v>
      </c>
    </row>
    <row r="140" spans="1:13" x14ac:dyDescent="0.3">
      <c r="A140" t="s">
        <v>147</v>
      </c>
      <c r="B140" s="1">
        <v>0.99677002633353196</v>
      </c>
      <c r="C140" s="1">
        <v>0.99685432825501397</v>
      </c>
      <c r="D140" s="1">
        <v>0.98575418225137601</v>
      </c>
      <c r="E140" s="1">
        <v>1.0031987323048901</v>
      </c>
      <c r="F140" s="1">
        <v>1.0031987323048901</v>
      </c>
      <c r="G140" s="1">
        <v>1.0031987323048901</v>
      </c>
      <c r="H140">
        <v>558</v>
      </c>
      <c r="I140">
        <v>551</v>
      </c>
      <c r="J140" s="16">
        <f t="shared" si="9"/>
        <v>6.4082078299560093E-3</v>
      </c>
      <c r="K140" s="16">
        <f t="shared" si="10"/>
        <v>6.3241747079360849E-3</v>
      </c>
      <c r="L140" s="16">
        <f t="shared" si="11"/>
        <v>1.7388927529278789E-2</v>
      </c>
      <c r="M140" s="16">
        <f t="shared" si="12"/>
        <v>6.4082078299560093E-3</v>
      </c>
    </row>
    <row r="141" spans="1:13" x14ac:dyDescent="0.3">
      <c r="A141" t="s">
        <v>148</v>
      </c>
      <c r="B141" s="1">
        <v>0.98325084122503403</v>
      </c>
      <c r="C141" s="1">
        <v>0.98324974351930094</v>
      </c>
      <c r="D141" s="1">
        <v>0.98324812170039699</v>
      </c>
      <c r="E141" s="1">
        <v>1.0046866136752099</v>
      </c>
      <c r="F141" s="1">
        <v>1.0046866136752099</v>
      </c>
      <c r="G141" s="1">
        <v>1.0046866136752099</v>
      </c>
      <c r="H141">
        <v>117</v>
      </c>
      <c r="I141">
        <v>117</v>
      </c>
      <c r="J141" s="16">
        <f t="shared" si="9"/>
        <v>2.1335779892361108E-2</v>
      </c>
      <c r="K141" s="16">
        <f t="shared" si="10"/>
        <v>2.1336872477569418E-2</v>
      </c>
      <c r="L141" s="16">
        <f t="shared" si="11"/>
        <v>2.133848673109074E-2</v>
      </c>
      <c r="M141" s="16">
        <f t="shared" si="12"/>
        <v>2.1336872477569418E-2</v>
      </c>
    </row>
    <row r="142" spans="1:13" x14ac:dyDescent="0.3">
      <c r="A142" t="s">
        <v>149</v>
      </c>
      <c r="B142" s="1">
        <v>0.99382647405319002</v>
      </c>
      <c r="C142" s="1">
        <v>1.04399293992978</v>
      </c>
      <c r="D142" s="1">
        <v>1.1112909188808999</v>
      </c>
      <c r="E142" s="1">
        <v>0.97444877505567895</v>
      </c>
      <c r="F142" s="1">
        <v>0.97444877505567895</v>
      </c>
      <c r="G142" s="1">
        <v>0.97444877505567895</v>
      </c>
      <c r="H142">
        <v>937</v>
      </c>
      <c r="I142">
        <v>898</v>
      </c>
      <c r="J142" s="16">
        <f t="shared" si="9"/>
        <v>-1.9885805691945018E-2</v>
      </c>
      <c r="K142" s="16">
        <f t="shared" si="10"/>
        <v>-7.1367696952697596E-2</v>
      </c>
      <c r="L142" s="16">
        <f t="shared" si="11"/>
        <v>-0.14043031027198116</v>
      </c>
      <c r="M142" s="16">
        <f t="shared" si="12"/>
        <v>7.1367696952697596E-2</v>
      </c>
    </row>
    <row r="143" spans="1:13" x14ac:dyDescent="0.3">
      <c r="A143" t="s">
        <v>150</v>
      </c>
      <c r="B143" s="1">
        <v>0.99999999996464395</v>
      </c>
      <c r="C143" s="1">
        <v>0.99999999996464395</v>
      </c>
      <c r="D143" s="1">
        <v>0.99999999996464395</v>
      </c>
      <c r="E143" s="1">
        <v>1.01958335</v>
      </c>
      <c r="F143" s="1">
        <v>1.01958335</v>
      </c>
      <c r="G143" s="1">
        <v>1.01958335</v>
      </c>
      <c r="H143">
        <v>2</v>
      </c>
      <c r="I143">
        <v>2</v>
      </c>
      <c r="J143" s="16">
        <f t="shared" si="9"/>
        <v>1.9207208547840696E-2</v>
      </c>
      <c r="K143" s="16">
        <f t="shared" si="10"/>
        <v>1.9207208547840696E-2</v>
      </c>
      <c r="L143" s="16">
        <f t="shared" si="11"/>
        <v>1.9207208547840696E-2</v>
      </c>
      <c r="M143" s="16">
        <f t="shared" si="12"/>
        <v>1.9207208547840696E-2</v>
      </c>
    </row>
    <row r="144" spans="1:13" x14ac:dyDescent="0.3">
      <c r="A144" t="s">
        <v>151</v>
      </c>
      <c r="B144" s="1">
        <v>0.98292393126197597</v>
      </c>
      <c r="C144" s="1">
        <v>0.97357096358656303</v>
      </c>
      <c r="D144" s="1">
        <v>0.97638920632508897</v>
      </c>
      <c r="E144" s="1">
        <v>1.01819116872037</v>
      </c>
      <c r="F144" s="1">
        <v>1.01819116872037</v>
      </c>
      <c r="G144" s="1">
        <v>1.01819116872037</v>
      </c>
      <c r="H144">
        <v>765</v>
      </c>
      <c r="I144">
        <v>633</v>
      </c>
      <c r="J144" s="16">
        <f t="shared" si="9"/>
        <v>3.4637147268441477E-2</v>
      </c>
      <c r="K144" s="16">
        <f t="shared" si="10"/>
        <v>4.3823013304941719E-2</v>
      </c>
      <c r="L144" s="16">
        <f t="shared" si="11"/>
        <v>4.1055121748714798E-2</v>
      </c>
      <c r="M144" s="16">
        <f t="shared" si="12"/>
        <v>4.1055121748714798E-2</v>
      </c>
    </row>
    <row r="145" spans="1:13" x14ac:dyDescent="0.3">
      <c r="A145" t="s">
        <v>152</v>
      </c>
      <c r="B145" s="1">
        <v>1.0018057470535999</v>
      </c>
      <c r="C145" s="1">
        <v>0.99211855961796702</v>
      </c>
      <c r="D145" s="1">
        <v>0.97994229235125396</v>
      </c>
      <c r="E145" s="1">
        <v>1.0358509023648601</v>
      </c>
      <c r="F145" s="1">
        <v>1.0358509023648601</v>
      </c>
      <c r="G145" s="1">
        <v>1.0358509023648601</v>
      </c>
      <c r="H145">
        <v>620</v>
      </c>
      <c r="I145">
        <v>592</v>
      </c>
      <c r="J145" s="16">
        <f t="shared" si="9"/>
        <v>3.2866849112680868E-2</v>
      </c>
      <c r="K145" s="16">
        <f t="shared" si="10"/>
        <v>4.2218762031342172E-2</v>
      </c>
      <c r="L145" s="16">
        <f t="shared" si="11"/>
        <v>5.3973607481507341E-2</v>
      </c>
      <c r="M145" s="16">
        <f t="shared" si="12"/>
        <v>4.2218762031342172E-2</v>
      </c>
    </row>
    <row r="146" spans="1:13" x14ac:dyDescent="0.3">
      <c r="A146" t="s">
        <v>153</v>
      </c>
      <c r="B146" s="1">
        <v>0.99869157621237703</v>
      </c>
      <c r="C146" s="1">
        <v>0.96045856661218798</v>
      </c>
      <c r="D146" s="1">
        <v>1.63846732117834</v>
      </c>
      <c r="E146" s="1">
        <v>0.97437623031496001</v>
      </c>
      <c r="F146" s="1">
        <v>0.97437623031496001</v>
      </c>
      <c r="G146" s="1">
        <v>0.97437623031496001</v>
      </c>
      <c r="H146">
        <v>554</v>
      </c>
      <c r="I146">
        <v>508</v>
      </c>
      <c r="J146" s="16">
        <f t="shared" si="9"/>
        <v>-2.4954781470353869E-2</v>
      </c>
      <c r="K146" s="16">
        <f t="shared" si="10"/>
        <v>1.4283665046173436E-2</v>
      </c>
      <c r="L146" s="16">
        <f t="shared" si="11"/>
        <v>-0.68155510182008183</v>
      </c>
      <c r="M146" s="16">
        <f t="shared" si="12"/>
        <v>2.4954781470353869E-2</v>
      </c>
    </row>
    <row r="147" spans="1:13" x14ac:dyDescent="0.3">
      <c r="A147" t="s">
        <v>154</v>
      </c>
      <c r="B147" s="1">
        <v>0.96870664996608102</v>
      </c>
      <c r="C147" s="1">
        <v>0.97487662554531396</v>
      </c>
      <c r="D147" s="1">
        <v>0.97294354563615904</v>
      </c>
      <c r="E147" s="1">
        <v>0.96213850635593201</v>
      </c>
      <c r="F147" s="1">
        <v>0.96213850635593201</v>
      </c>
      <c r="G147" s="1">
        <v>0.96213850635593201</v>
      </c>
      <c r="H147">
        <v>976</v>
      </c>
      <c r="I147">
        <v>944</v>
      </c>
      <c r="J147" s="16">
        <f t="shared" si="9"/>
        <v>-6.8266092322046661E-3</v>
      </c>
      <c r="K147" s="16">
        <f t="shared" si="10"/>
        <v>-1.3239381965520904E-2</v>
      </c>
      <c r="L147" s="16">
        <f t="shared" si="11"/>
        <v>-1.1230232662811465E-2</v>
      </c>
      <c r="M147" s="16">
        <f t="shared" si="12"/>
        <v>1.1230232662811465E-2</v>
      </c>
    </row>
    <row r="148" spans="1:13" x14ac:dyDescent="0.3">
      <c r="A148" t="s">
        <v>155</v>
      </c>
      <c r="B148" s="1">
        <v>1.08540550741695</v>
      </c>
      <c r="C148" s="1">
        <v>1.17074382083374</v>
      </c>
      <c r="D148" s="1">
        <v>2.5854707790338298</v>
      </c>
      <c r="E148" s="1">
        <v>1.0035094056415901</v>
      </c>
      <c r="F148" s="1">
        <v>1.0035094056415901</v>
      </c>
      <c r="G148" s="1">
        <v>1.0035094056415901</v>
      </c>
      <c r="H148">
        <v>1002</v>
      </c>
      <c r="I148">
        <v>904</v>
      </c>
      <c r="J148" s="16">
        <f t="shared" si="9"/>
        <v>-8.1609700232953886E-2</v>
      </c>
      <c r="K148" s="16">
        <f t="shared" si="10"/>
        <v>-0.16664957423615692</v>
      </c>
      <c r="L148" s="16">
        <f t="shared" si="11"/>
        <v>-1.57642904441022</v>
      </c>
      <c r="M148" s="16">
        <f t="shared" si="12"/>
        <v>0.16664957423615692</v>
      </c>
    </row>
    <row r="149" spans="1:13" x14ac:dyDescent="0.3">
      <c r="A149" t="s">
        <v>156</v>
      </c>
      <c r="B149" s="1">
        <v>0.99377841800537503</v>
      </c>
      <c r="C149" s="1">
        <v>0.993776736368437</v>
      </c>
      <c r="D149" s="1">
        <v>0.99950264291662205</v>
      </c>
      <c r="E149" s="1">
        <v>1.0040751479768699</v>
      </c>
      <c r="F149" s="1">
        <v>1.0040751479768699</v>
      </c>
      <c r="G149" s="1">
        <v>1.0040751479768699</v>
      </c>
      <c r="H149">
        <v>175</v>
      </c>
      <c r="I149">
        <v>173</v>
      </c>
      <c r="J149" s="16">
        <f t="shared" si="9"/>
        <v>1.0254939575231959E-2</v>
      </c>
      <c r="K149" s="16">
        <f t="shared" si="10"/>
        <v>1.0256614387063944E-2</v>
      </c>
      <c r="L149" s="16">
        <f t="shared" si="11"/>
        <v>4.5539470521316003E-3</v>
      </c>
      <c r="M149" s="16">
        <f t="shared" si="12"/>
        <v>1.0254939575231959E-2</v>
      </c>
    </row>
    <row r="150" spans="1:13" x14ac:dyDescent="0.3">
      <c r="A150" t="s">
        <v>157</v>
      </c>
      <c r="B150" s="1">
        <v>1.0076879837481101</v>
      </c>
      <c r="C150" s="1">
        <v>1.03223739615555</v>
      </c>
      <c r="D150" s="1">
        <v>1.02361625055332</v>
      </c>
      <c r="E150" s="1">
        <v>1.01908631065989</v>
      </c>
      <c r="F150" s="1">
        <v>1.01908631065989</v>
      </c>
      <c r="G150" s="1">
        <v>1.01908631065989</v>
      </c>
      <c r="H150">
        <v>1180</v>
      </c>
      <c r="I150">
        <v>985</v>
      </c>
      <c r="J150" s="16">
        <f t="shared" si="9"/>
        <v>1.1184849401420296E-2</v>
      </c>
      <c r="K150" s="16">
        <f t="shared" si="10"/>
        <v>-1.2904780839558412E-2</v>
      </c>
      <c r="L150" s="16">
        <f t="shared" si="11"/>
        <v>-4.4450993463906931E-3</v>
      </c>
      <c r="M150" s="16">
        <f t="shared" si="12"/>
        <v>4.4450993463906931E-3</v>
      </c>
    </row>
    <row r="151" spans="1:13" x14ac:dyDescent="0.3">
      <c r="A151" t="s">
        <v>158</v>
      </c>
      <c r="B151" s="1">
        <v>1.00198224329032</v>
      </c>
      <c r="C151" s="1">
        <v>1.00197925617568</v>
      </c>
      <c r="D151" s="1">
        <v>1.0019351603671101</v>
      </c>
      <c r="E151" s="1">
        <v>1.00245695166051</v>
      </c>
      <c r="F151" s="1">
        <v>1.00245695166051</v>
      </c>
      <c r="G151" s="1">
        <v>1.00245695166051</v>
      </c>
      <c r="H151">
        <v>271</v>
      </c>
      <c r="I151">
        <v>271</v>
      </c>
      <c r="J151" s="16">
        <f t="shared" si="9"/>
        <v>4.7354489327805906E-4</v>
      </c>
      <c r="K151" s="16">
        <f t="shared" si="10"/>
        <v>4.7652468670972422E-4</v>
      </c>
      <c r="L151" s="16">
        <f t="shared" si="11"/>
        <v>5.2051241954638862E-4</v>
      </c>
      <c r="M151" s="16">
        <f t="shared" si="12"/>
        <v>4.7652468670972422E-4</v>
      </c>
    </row>
    <row r="152" spans="1:13" x14ac:dyDescent="0.3">
      <c r="A152" t="s">
        <v>159</v>
      </c>
      <c r="B152" s="1">
        <v>0.90582119885296097</v>
      </c>
      <c r="C152" s="1">
        <v>0.94923189688685805</v>
      </c>
      <c r="D152" s="1">
        <v>0.92208988160599803</v>
      </c>
      <c r="E152" s="1">
        <v>1.00555683157894</v>
      </c>
      <c r="F152" s="1">
        <v>1.00555683157894</v>
      </c>
      <c r="G152" s="1">
        <v>1.00555683157894</v>
      </c>
      <c r="H152">
        <v>554</v>
      </c>
      <c r="I152">
        <v>437</v>
      </c>
      <c r="J152" s="16">
        <f t="shared" si="9"/>
        <v>9.9184481268326449E-2</v>
      </c>
      <c r="K152" s="16">
        <f t="shared" si="10"/>
        <v>5.6013676127722942E-2</v>
      </c>
      <c r="L152" s="16">
        <f t="shared" si="11"/>
        <v>8.3005701270887883E-2</v>
      </c>
      <c r="M152" s="16">
        <f t="shared" si="12"/>
        <v>8.3005701270887883E-2</v>
      </c>
    </row>
    <row r="153" spans="1:13" x14ac:dyDescent="0.3">
      <c r="A153" t="s">
        <v>160</v>
      </c>
      <c r="B153" s="1">
        <v>0.99737773061033697</v>
      </c>
      <c r="C153" s="1">
        <v>0.99740688891012597</v>
      </c>
      <c r="D153" s="1">
        <v>0.99732169516027402</v>
      </c>
      <c r="E153" s="1">
        <v>0.97634324009323903</v>
      </c>
      <c r="F153" s="1">
        <v>0.97634324009323903</v>
      </c>
      <c r="G153" s="1">
        <v>0.97634324009323903</v>
      </c>
      <c r="H153">
        <v>429</v>
      </c>
      <c r="I153">
        <v>429</v>
      </c>
      <c r="J153" s="16">
        <f t="shared" si="9"/>
        <v>-2.1544155429487257E-2</v>
      </c>
      <c r="K153" s="16">
        <f t="shared" si="10"/>
        <v>-2.1574020233781101E-2</v>
      </c>
      <c r="L153" s="16">
        <f t="shared" si="11"/>
        <v>-2.1486762242581402E-2</v>
      </c>
      <c r="M153" s="16">
        <f t="shared" si="12"/>
        <v>2.1544155429487257E-2</v>
      </c>
    </row>
    <row r="154" spans="1:13" x14ac:dyDescent="0.3">
      <c r="A154" t="s">
        <v>161</v>
      </c>
      <c r="B154" s="1">
        <v>0.96632345114243601</v>
      </c>
      <c r="C154" s="1">
        <v>0.95543247614482496</v>
      </c>
      <c r="D154" s="1">
        <v>0.95703388598709405</v>
      </c>
      <c r="E154" s="1">
        <v>0.95969944082013003</v>
      </c>
      <c r="F154" s="1">
        <v>0.95969944082013003</v>
      </c>
      <c r="G154" s="1">
        <v>0.95969944082013003</v>
      </c>
      <c r="H154">
        <v>1166</v>
      </c>
      <c r="I154">
        <v>1073</v>
      </c>
      <c r="J154" s="16">
        <f t="shared" si="9"/>
        <v>-6.9021717014290376E-3</v>
      </c>
      <c r="K154" s="16">
        <f t="shared" si="10"/>
        <v>4.4461468807970288E-3</v>
      </c>
      <c r="L154" s="16">
        <f t="shared" si="11"/>
        <v>2.7774892009503368E-3</v>
      </c>
      <c r="M154" s="16">
        <f t="shared" si="12"/>
        <v>2.7774892009503368E-3</v>
      </c>
    </row>
    <row r="155" spans="1:13" x14ac:dyDescent="0.3">
      <c r="A155" t="s">
        <v>162</v>
      </c>
      <c r="B155" s="1">
        <v>0.99898913797833899</v>
      </c>
      <c r="C155" s="1">
        <v>0.99897887111677097</v>
      </c>
      <c r="D155" s="1">
        <v>0.99892953624376102</v>
      </c>
      <c r="E155" s="1">
        <v>1.00328153432432</v>
      </c>
      <c r="F155" s="1">
        <v>1.00328153432432</v>
      </c>
      <c r="G155" s="1">
        <v>1.00328153432432</v>
      </c>
      <c r="H155">
        <v>370</v>
      </c>
      <c r="I155">
        <v>370</v>
      </c>
      <c r="J155" s="16">
        <f t="shared" si="9"/>
        <v>4.2783567713840145E-3</v>
      </c>
      <c r="K155" s="16">
        <f t="shared" si="10"/>
        <v>4.2885900520901465E-3</v>
      </c>
      <c r="L155" s="16">
        <f t="shared" si="11"/>
        <v>4.3377635605442617E-3</v>
      </c>
      <c r="M155" s="16">
        <f t="shared" si="12"/>
        <v>4.2885900520901465E-3</v>
      </c>
    </row>
    <row r="156" spans="1:13" x14ac:dyDescent="0.3">
      <c r="A156" t="s">
        <v>163</v>
      </c>
      <c r="B156" s="1">
        <v>0.99939847342436905</v>
      </c>
      <c r="C156" s="1">
        <v>0.99400432643562098</v>
      </c>
      <c r="D156" s="1">
        <v>0.99938901553913895</v>
      </c>
      <c r="E156" s="1">
        <v>1.00548967223719</v>
      </c>
      <c r="F156" s="1">
        <v>1.00548967223719</v>
      </c>
      <c r="G156" s="1">
        <v>1.00548967223719</v>
      </c>
      <c r="H156">
        <v>373</v>
      </c>
      <c r="I156">
        <v>371</v>
      </c>
      <c r="J156" s="16">
        <f t="shared" si="9"/>
        <v>6.057942693004666E-3</v>
      </c>
      <c r="K156" s="16">
        <f t="shared" si="10"/>
        <v>1.1422639255970079E-2</v>
      </c>
      <c r="L156" s="16">
        <f t="shared" si="11"/>
        <v>6.0673489410162026E-3</v>
      </c>
      <c r="M156" s="16">
        <f t="shared" si="12"/>
        <v>6.0673489410162026E-3</v>
      </c>
    </row>
    <row r="157" spans="1:13" x14ac:dyDescent="0.3">
      <c r="A157" t="s">
        <v>164</v>
      </c>
      <c r="B157" s="1">
        <v>0.96404703651984602</v>
      </c>
      <c r="C157" s="1">
        <v>0.97275349522421495</v>
      </c>
      <c r="D157" s="1">
        <v>0.96872828987551496</v>
      </c>
      <c r="E157" s="1">
        <v>0.94611569706498899</v>
      </c>
      <c r="F157" s="1">
        <v>0.94611569706498899</v>
      </c>
      <c r="G157" s="1">
        <v>0.94611569706498899</v>
      </c>
      <c r="H157">
        <v>991</v>
      </c>
      <c r="I157">
        <v>954</v>
      </c>
      <c r="J157" s="16">
        <f t="shared" si="9"/>
        <v>-1.8952586359663074E-2</v>
      </c>
      <c r="K157" s="16">
        <f t="shared" si="10"/>
        <v>-2.8154905622917909E-2</v>
      </c>
      <c r="L157" s="16">
        <f t="shared" si="11"/>
        <v>-2.3900452006740885E-2</v>
      </c>
      <c r="M157" s="16">
        <f t="shared" si="12"/>
        <v>2.3900452006740885E-2</v>
      </c>
    </row>
    <row r="158" spans="1:13" x14ac:dyDescent="0.3">
      <c r="A158" t="s">
        <v>165</v>
      </c>
      <c r="B158" s="1">
        <v>1.0108144788322799</v>
      </c>
      <c r="C158" s="1">
        <v>0.98021886937059299</v>
      </c>
      <c r="D158" s="1">
        <v>1.2380347880962199</v>
      </c>
      <c r="E158" s="1">
        <v>1.00358825357142</v>
      </c>
      <c r="F158" s="1">
        <v>1.00358825357142</v>
      </c>
      <c r="G158" s="1">
        <v>1.00358825357142</v>
      </c>
      <c r="H158">
        <v>702</v>
      </c>
      <c r="I158">
        <v>644</v>
      </c>
      <c r="J158" s="16">
        <f t="shared" si="9"/>
        <v>-7.2003884413197432E-3</v>
      </c>
      <c r="K158" s="16">
        <f t="shared" si="10"/>
        <v>2.3285828742677626E-2</v>
      </c>
      <c r="L158" s="16">
        <f t="shared" si="11"/>
        <v>-0.23360828874838521</v>
      </c>
      <c r="M158" s="16">
        <f t="shared" si="12"/>
        <v>7.2003884413197432E-3</v>
      </c>
    </row>
    <row r="159" spans="1:13" x14ac:dyDescent="0.3">
      <c r="A159" t="s">
        <v>166</v>
      </c>
      <c r="B159" s="1">
        <v>0.93581028489275397</v>
      </c>
      <c r="C159" s="1">
        <v>0.93866745355507997</v>
      </c>
      <c r="D159" s="1">
        <v>0.89418080088021901</v>
      </c>
      <c r="E159" s="1">
        <v>1.00495578653061</v>
      </c>
      <c r="F159" s="1">
        <v>1.00495578653061</v>
      </c>
      <c r="G159" s="1">
        <v>1.00495578653061</v>
      </c>
      <c r="H159">
        <v>317</v>
      </c>
      <c r="I159">
        <v>245</v>
      </c>
      <c r="J159" s="16">
        <f t="shared" si="9"/>
        <v>6.8804521118850173E-2</v>
      </c>
      <c r="K159" s="16">
        <f t="shared" si="10"/>
        <v>6.5961442148988483E-2</v>
      </c>
      <c r="L159" s="16">
        <f t="shared" si="11"/>
        <v>0.11022871566600698</v>
      </c>
      <c r="M159" s="16">
        <f t="shared" si="12"/>
        <v>6.8804521118850173E-2</v>
      </c>
    </row>
    <row r="160" spans="1:13" x14ac:dyDescent="0.3">
      <c r="A160" t="s">
        <v>167</v>
      </c>
      <c r="B160" s="1">
        <v>1.0007867311620899</v>
      </c>
      <c r="C160" s="1">
        <v>0.99784320220724998</v>
      </c>
      <c r="D160" s="1">
        <v>1.0007867312302201</v>
      </c>
      <c r="E160" s="1">
        <v>0.95595602123893797</v>
      </c>
      <c r="F160" s="1">
        <v>0.95595602123893797</v>
      </c>
      <c r="G160" s="1">
        <v>0.95595602123893797</v>
      </c>
      <c r="H160">
        <v>340</v>
      </c>
      <c r="I160">
        <v>339</v>
      </c>
      <c r="J160" s="16">
        <f t="shared" si="9"/>
        <v>-4.6896205397660949E-2</v>
      </c>
      <c r="K160" s="16">
        <f t="shared" si="10"/>
        <v>-4.381705856512666E-2</v>
      </c>
      <c r="L160" s="16">
        <f t="shared" si="11"/>
        <v>-4.6896205468930093E-2</v>
      </c>
      <c r="M160" s="16">
        <f t="shared" si="12"/>
        <v>4.6896205397660949E-2</v>
      </c>
    </row>
    <row r="161" spans="1:13" x14ac:dyDescent="0.3">
      <c r="A161" t="s">
        <v>168</v>
      </c>
      <c r="B161" s="1">
        <v>0.99076119384333305</v>
      </c>
      <c r="C161" s="1">
        <v>0.98791316147721497</v>
      </c>
      <c r="D161" s="1">
        <v>0.979364426316509</v>
      </c>
      <c r="E161" s="1">
        <v>1.0056599277456599</v>
      </c>
      <c r="F161" s="1">
        <v>1.0056599277456599</v>
      </c>
      <c r="G161" s="1">
        <v>1.0056599277456599</v>
      </c>
      <c r="H161">
        <v>351</v>
      </c>
      <c r="I161">
        <v>346</v>
      </c>
      <c r="J161" s="16">
        <f t="shared" si="9"/>
        <v>1.4814882736477988E-2</v>
      </c>
      <c r="K161" s="16">
        <f t="shared" si="10"/>
        <v>1.7646886167799327E-2</v>
      </c>
      <c r="L161" s="16">
        <f t="shared" si="11"/>
        <v>2.6147508420760399E-2</v>
      </c>
      <c r="M161" s="16">
        <f t="shared" si="12"/>
        <v>1.7646886167799327E-2</v>
      </c>
    </row>
    <row r="162" spans="1:13" x14ac:dyDescent="0.3">
      <c r="A162" t="s">
        <v>169</v>
      </c>
      <c r="B162" s="1">
        <v>1.01594326088126</v>
      </c>
      <c r="C162" s="1">
        <v>1.01594022383906</v>
      </c>
      <c r="D162" s="1">
        <v>1.0159469776561101</v>
      </c>
      <c r="E162" s="1">
        <v>1.02713797565543</v>
      </c>
      <c r="F162" s="1">
        <v>1.02713797565543</v>
      </c>
      <c r="G162" s="1">
        <v>1.02713797565543</v>
      </c>
      <c r="H162">
        <v>267</v>
      </c>
      <c r="I162">
        <v>267</v>
      </c>
      <c r="J162" s="16">
        <f t="shared" si="9"/>
        <v>1.0898939616195681E-2</v>
      </c>
      <c r="K162" s="16">
        <f t="shared" si="10"/>
        <v>1.0901896416812473E-2</v>
      </c>
      <c r="L162" s="16">
        <f t="shared" si="11"/>
        <v>1.089532104212072E-2</v>
      </c>
      <c r="M162" s="16">
        <f t="shared" si="12"/>
        <v>1.0898939616195681E-2</v>
      </c>
    </row>
    <row r="163" spans="1:13" x14ac:dyDescent="0.3">
      <c r="A163" t="s">
        <v>170</v>
      </c>
      <c r="B163" s="1">
        <v>0.98773744682304598</v>
      </c>
      <c r="C163" s="1">
        <v>0.95956099007593099</v>
      </c>
      <c r="D163" s="1">
        <v>0.96649970290529696</v>
      </c>
      <c r="E163" s="1">
        <v>1.0055687251184799</v>
      </c>
      <c r="F163" s="1">
        <v>1.0055687251184799</v>
      </c>
      <c r="G163" s="1">
        <v>1.0055687251184799</v>
      </c>
      <c r="H163">
        <v>894</v>
      </c>
      <c r="I163">
        <v>844</v>
      </c>
      <c r="J163" s="16">
        <f t="shared" si="9"/>
        <v>1.7732530706275708E-2</v>
      </c>
      <c r="K163" s="16">
        <f t="shared" si="10"/>
        <v>4.5752949443737076E-2</v>
      </c>
      <c r="L163" s="16">
        <f t="shared" si="11"/>
        <v>3.8852662416066809E-2</v>
      </c>
      <c r="M163" s="16">
        <f t="shared" si="12"/>
        <v>3.8852662416066809E-2</v>
      </c>
    </row>
    <row r="164" spans="1:13" x14ac:dyDescent="0.3">
      <c r="A164" t="s">
        <v>171</v>
      </c>
      <c r="B164" s="1">
        <v>1</v>
      </c>
      <c r="C164" s="1">
        <v>0.999999999999999</v>
      </c>
      <c r="D164" s="1">
        <v>0.999999999999999</v>
      </c>
      <c r="E164" s="1">
        <v>1</v>
      </c>
      <c r="F164" s="1">
        <v>1</v>
      </c>
      <c r="G164" s="1">
        <v>1</v>
      </c>
      <c r="H164">
        <v>4</v>
      </c>
      <c r="I164">
        <v>4</v>
      </c>
      <c r="J164" s="16">
        <f t="shared" si="9"/>
        <v>0</v>
      </c>
      <c r="K164" s="16">
        <f t="shared" si="10"/>
        <v>9.9920072216264089E-16</v>
      </c>
      <c r="L164" s="16">
        <f t="shared" si="11"/>
        <v>9.9920072216264089E-16</v>
      </c>
      <c r="M164" s="16">
        <f t="shared" si="12"/>
        <v>9.9920072216264089E-16</v>
      </c>
    </row>
    <row r="165" spans="1:13" x14ac:dyDescent="0.3">
      <c r="A165" t="s">
        <v>172</v>
      </c>
      <c r="B165" s="1">
        <v>0.996204455426417</v>
      </c>
      <c r="C165" s="1">
        <v>0.99620445542726899</v>
      </c>
      <c r="D165" s="1">
        <v>0.99620445542745595</v>
      </c>
      <c r="E165" s="1">
        <v>0.96818895348837197</v>
      </c>
      <c r="F165" s="1">
        <v>0.96818895348837197</v>
      </c>
      <c r="G165" s="1">
        <v>0.96818895348837197</v>
      </c>
      <c r="H165">
        <v>215</v>
      </c>
      <c r="I165">
        <v>215</v>
      </c>
      <c r="J165" s="16">
        <f t="shared" si="9"/>
        <v>-2.8935985932400432E-2</v>
      </c>
      <c r="K165" s="16">
        <f t="shared" si="10"/>
        <v>-2.8935985933280412E-2</v>
      </c>
      <c r="L165" s="16">
        <f t="shared" si="11"/>
        <v>-2.8935985933473515E-2</v>
      </c>
      <c r="M165" s="16">
        <f t="shared" si="12"/>
        <v>2.8935985933280412E-2</v>
      </c>
    </row>
    <row r="166" spans="1:13" x14ac:dyDescent="0.3">
      <c r="A166" t="s">
        <v>173</v>
      </c>
      <c r="B166" s="1">
        <v>1.0856946341748701</v>
      </c>
      <c r="C166" s="1">
        <v>1.0872688634289001</v>
      </c>
      <c r="D166" s="1">
        <v>1.0836341785150401</v>
      </c>
      <c r="E166" s="1">
        <v>1.0391143381015999</v>
      </c>
      <c r="F166" s="1">
        <v>1.0391143381015999</v>
      </c>
      <c r="G166" s="1">
        <v>1.0391143381015999</v>
      </c>
      <c r="H166">
        <v>766</v>
      </c>
      <c r="I166">
        <v>748</v>
      </c>
      <c r="J166" s="16">
        <f t="shared" si="9"/>
        <v>-4.4826920739415084E-2</v>
      </c>
      <c r="K166" s="16">
        <f t="shared" si="10"/>
        <v>-4.6341892861641761E-2</v>
      </c>
      <c r="L166" s="16">
        <f t="shared" si="11"/>
        <v>-4.284402474397115E-2</v>
      </c>
      <c r="M166" s="16">
        <f t="shared" si="12"/>
        <v>4.4826920739415084E-2</v>
      </c>
    </row>
    <row r="167" spans="1:13" x14ac:dyDescent="0.3">
      <c r="A167" t="s">
        <v>174</v>
      </c>
      <c r="B167" s="1">
        <v>0.92958304748980103</v>
      </c>
      <c r="C167" s="1">
        <v>0.90467691666516103</v>
      </c>
      <c r="D167" s="1">
        <v>0.91597487404503197</v>
      </c>
      <c r="E167" s="1">
        <v>1.00411288082851</v>
      </c>
      <c r="F167" s="1">
        <v>1.00411288082851</v>
      </c>
      <c r="G167" s="1">
        <v>1.00411288082851</v>
      </c>
      <c r="H167">
        <v>1446</v>
      </c>
      <c r="I167">
        <v>1038</v>
      </c>
      <c r="J167" s="16">
        <f t="shared" si="9"/>
        <v>7.4224556582934392E-2</v>
      </c>
      <c r="K167" s="16">
        <f t="shared" si="10"/>
        <v>9.902867104075265E-2</v>
      </c>
      <c r="L167" s="16">
        <f t="shared" si="11"/>
        <v>8.7776990482139758E-2</v>
      </c>
      <c r="M167" s="16">
        <f t="shared" si="12"/>
        <v>8.7776990482139758E-2</v>
      </c>
    </row>
    <row r="168" spans="1:13" x14ac:dyDescent="0.3">
      <c r="A168" t="s">
        <v>175</v>
      </c>
      <c r="B168" s="1">
        <v>0.99430148337893898</v>
      </c>
      <c r="C168" s="1">
        <v>0.94008495262347003</v>
      </c>
      <c r="D168" s="1">
        <v>0.98071168955527799</v>
      </c>
      <c r="E168" s="1">
        <v>1.0050140944444399</v>
      </c>
      <c r="F168" s="1">
        <v>1.0050140944444399</v>
      </c>
      <c r="G168" s="1">
        <v>1.0050140944444399</v>
      </c>
      <c r="H168">
        <v>444</v>
      </c>
      <c r="I168">
        <v>414</v>
      </c>
      <c r="J168" s="16">
        <f t="shared" si="9"/>
        <v>1.0659165005464653E-2</v>
      </c>
      <c r="K168" s="16">
        <f t="shared" si="10"/>
        <v>6.4605205220392398E-2</v>
      </c>
      <c r="L168" s="16">
        <f t="shared" si="11"/>
        <v>2.4181158277781167E-2</v>
      </c>
      <c r="M168" s="16">
        <f t="shared" si="12"/>
        <v>2.4181158277781167E-2</v>
      </c>
    </row>
    <row r="169" spans="1:13" x14ac:dyDescent="0.3">
      <c r="A169" t="s">
        <v>176</v>
      </c>
      <c r="B169" s="1">
        <v>0.99475661823055905</v>
      </c>
      <c r="C169" s="1">
        <v>1.2630634434938</v>
      </c>
      <c r="D169" s="1">
        <v>0.99791384222007495</v>
      </c>
      <c r="E169" s="1">
        <v>1.00428288795562</v>
      </c>
      <c r="F169" s="1">
        <v>1.00428288795562</v>
      </c>
      <c r="G169" s="1">
        <v>1.00428288795562</v>
      </c>
      <c r="H169">
        <v>651</v>
      </c>
      <c r="I169">
        <v>631</v>
      </c>
      <c r="J169" s="16">
        <f t="shared" si="9"/>
        <v>9.4856437755832402E-3</v>
      </c>
      <c r="K169" s="16">
        <f t="shared" si="10"/>
        <v>-0.25767695401538654</v>
      </c>
      <c r="L169" s="16">
        <f t="shared" si="11"/>
        <v>6.341884156276234E-3</v>
      </c>
      <c r="M169" s="16">
        <f t="shared" si="12"/>
        <v>6.341884156276234E-3</v>
      </c>
    </row>
    <row r="170" spans="1:13" x14ac:dyDescent="0.3">
      <c r="A170" t="s">
        <v>177</v>
      </c>
      <c r="B170" s="1">
        <v>0.99122623044840197</v>
      </c>
      <c r="C170" s="1">
        <v>0.98547682031616801</v>
      </c>
      <c r="D170" s="1">
        <v>0.95988952437489605</v>
      </c>
      <c r="E170" s="1">
        <v>1.0342781371470999</v>
      </c>
      <c r="F170" s="1">
        <v>1.0342781371470999</v>
      </c>
      <c r="G170" s="1">
        <v>1.0342781371470999</v>
      </c>
      <c r="H170">
        <v>1615</v>
      </c>
      <c r="I170">
        <v>1346</v>
      </c>
      <c r="J170" s="16">
        <f t="shared" si="9"/>
        <v>4.1625076613772523E-2</v>
      </c>
      <c r="K170" s="16">
        <f t="shared" si="10"/>
        <v>4.7183939288848335E-2</v>
      </c>
      <c r="L170" s="16">
        <f t="shared" si="11"/>
        <v>7.1923218813648743E-2</v>
      </c>
      <c r="M170" s="16">
        <f t="shared" si="12"/>
        <v>4.7183939288848335E-2</v>
      </c>
    </row>
    <row r="171" spans="1:13" x14ac:dyDescent="0.3">
      <c r="A171" t="s">
        <v>178</v>
      </c>
      <c r="B171" s="1">
        <v>0.99923971826126901</v>
      </c>
      <c r="C171" s="1">
        <v>0.97733660643252496</v>
      </c>
      <c r="D171" s="1">
        <v>0.97036579369662002</v>
      </c>
      <c r="E171" s="1">
        <v>1.01403736058823</v>
      </c>
      <c r="F171" s="1">
        <v>1.01403736058823</v>
      </c>
      <c r="G171" s="1">
        <v>1.01403736058823</v>
      </c>
      <c r="H171">
        <v>553</v>
      </c>
      <c r="I171">
        <v>510</v>
      </c>
      <c r="J171" s="16">
        <f t="shared" si="9"/>
        <v>1.4592797960005233E-2</v>
      </c>
      <c r="K171" s="16">
        <f t="shared" si="10"/>
        <v>3.619270411734675E-2</v>
      </c>
      <c r="L171" s="16">
        <f t="shared" si="11"/>
        <v>4.306701960791335E-2</v>
      </c>
      <c r="M171" s="16">
        <f t="shared" si="12"/>
        <v>3.619270411734675E-2</v>
      </c>
    </row>
    <row r="172" spans="1:13" x14ac:dyDescent="0.3">
      <c r="A172" t="s">
        <v>179</v>
      </c>
      <c r="B172" s="1">
        <v>0.97014109833721895</v>
      </c>
      <c r="C172" s="1">
        <v>0.96315939306751597</v>
      </c>
      <c r="D172" s="1">
        <v>0.93709018068833005</v>
      </c>
      <c r="E172" s="1">
        <v>1.00643248722627</v>
      </c>
      <c r="F172" s="1">
        <v>1.00643248722627</v>
      </c>
      <c r="G172" s="1">
        <v>1.00643248722627</v>
      </c>
      <c r="H172">
        <v>614</v>
      </c>
      <c r="I172">
        <v>548</v>
      </c>
      <c r="J172" s="16">
        <f t="shared" si="9"/>
        <v>3.6059437021026791E-2</v>
      </c>
      <c r="K172" s="16">
        <f t="shared" si="10"/>
        <v>4.2996519595680738E-2</v>
      </c>
      <c r="L172" s="16">
        <f t="shared" si="11"/>
        <v>6.8899113868082174E-2</v>
      </c>
      <c r="M172" s="16">
        <f t="shared" si="12"/>
        <v>4.2996519595680738E-2</v>
      </c>
    </row>
    <row r="173" spans="1:13" x14ac:dyDescent="0.3">
      <c r="A173" t="s">
        <v>180</v>
      </c>
      <c r="B173" s="1">
        <v>0.99553630209123101</v>
      </c>
      <c r="C173" s="1">
        <v>0.98367687662999503</v>
      </c>
      <c r="D173" s="1">
        <v>0.99550457649191404</v>
      </c>
      <c r="E173" s="1">
        <v>1.0023258135391899</v>
      </c>
      <c r="F173" s="1">
        <v>1.0023258135391899</v>
      </c>
      <c r="G173" s="1">
        <v>1.0023258135391899</v>
      </c>
      <c r="H173">
        <v>426</v>
      </c>
      <c r="I173">
        <v>421</v>
      </c>
      <c r="J173" s="16">
        <f t="shared" si="9"/>
        <v>6.7737569523280113E-3</v>
      </c>
      <c r="K173" s="16">
        <f t="shared" si="10"/>
        <v>1.8605663604877056E-2</v>
      </c>
      <c r="L173" s="16">
        <f t="shared" si="11"/>
        <v>6.805408935035057E-3</v>
      </c>
      <c r="M173" s="16">
        <f t="shared" si="12"/>
        <v>6.805408935035057E-3</v>
      </c>
    </row>
    <row r="174" spans="1:13" x14ac:dyDescent="0.3">
      <c r="A174" t="s">
        <v>181</v>
      </c>
      <c r="B174" s="1">
        <v>0.99542105936433301</v>
      </c>
      <c r="C174" s="1">
        <v>0.98085050328852696</v>
      </c>
      <c r="D174" s="1">
        <v>0.98667408587944605</v>
      </c>
      <c r="E174" s="1">
        <v>1.00280597253731</v>
      </c>
      <c r="F174" s="1">
        <v>1.00280597253731</v>
      </c>
      <c r="G174" s="1">
        <v>1.00280597253731</v>
      </c>
      <c r="H174">
        <v>343</v>
      </c>
      <c r="I174">
        <v>335</v>
      </c>
      <c r="J174" s="16">
        <f t="shared" si="9"/>
        <v>7.3642492917065259E-3</v>
      </c>
      <c r="K174" s="16">
        <f t="shared" si="10"/>
        <v>2.1894035187316491E-2</v>
      </c>
      <c r="L174" s="16">
        <f t="shared" si="11"/>
        <v>1.6086747685643363E-2</v>
      </c>
      <c r="M174" s="16">
        <f t="shared" si="12"/>
        <v>1.6086747685643363E-2</v>
      </c>
    </row>
    <row r="175" spans="1:13" x14ac:dyDescent="0.3">
      <c r="A175" t="s">
        <v>182</v>
      </c>
      <c r="B175" s="1">
        <v>2.4405688929729199</v>
      </c>
      <c r="C175" s="1">
        <v>1.22384827829361</v>
      </c>
      <c r="D175" s="1">
        <v>1.65809995751269</v>
      </c>
      <c r="E175" s="1">
        <v>0.97617440604751604</v>
      </c>
      <c r="F175" s="1">
        <v>0.97617440604751604</v>
      </c>
      <c r="G175" s="1">
        <v>0.97617440604751604</v>
      </c>
      <c r="H175">
        <v>1092</v>
      </c>
      <c r="I175">
        <v>926</v>
      </c>
      <c r="J175" s="16">
        <f t="shared" si="9"/>
        <v>-1.5001361210182389</v>
      </c>
      <c r="K175" s="16">
        <f t="shared" si="10"/>
        <v>-0.25371887514334013</v>
      </c>
      <c r="L175" s="16">
        <f t="shared" si="11"/>
        <v>-0.69856938190610651</v>
      </c>
      <c r="M175" s="16">
        <f t="shared" si="12"/>
        <v>0.69856938190610651</v>
      </c>
    </row>
    <row r="176" spans="1:13" x14ac:dyDescent="0.3">
      <c r="A176" t="s">
        <v>183</v>
      </c>
      <c r="B176" s="1">
        <v>0.93886175437797703</v>
      </c>
      <c r="C176" s="1">
        <v>0.95808982796733999</v>
      </c>
      <c r="D176" s="1">
        <v>0.92676321556843499</v>
      </c>
      <c r="E176" s="1">
        <v>1.00534091363636</v>
      </c>
      <c r="F176" s="1">
        <v>1.00534091363636</v>
      </c>
      <c r="G176" s="1">
        <v>1.00534091363636</v>
      </c>
      <c r="H176">
        <v>835</v>
      </c>
      <c r="I176">
        <v>682</v>
      </c>
      <c r="J176" s="16">
        <f t="shared" si="9"/>
        <v>6.6125986077623267E-2</v>
      </c>
      <c r="K176" s="16">
        <f t="shared" si="10"/>
        <v>4.7000062394865524E-2</v>
      </c>
      <c r="L176" s="16">
        <f t="shared" si="11"/>
        <v>7.816025091797589E-2</v>
      </c>
      <c r="M176" s="16">
        <f t="shared" si="12"/>
        <v>6.6125986077623267E-2</v>
      </c>
    </row>
    <row r="177" spans="1:13" x14ac:dyDescent="0.3">
      <c r="A177" t="s">
        <v>184</v>
      </c>
      <c r="B177" s="1">
        <v>0.94908707832021699</v>
      </c>
      <c r="C177" s="1">
        <v>0.995118282511397</v>
      </c>
      <c r="D177" s="1">
        <v>0.97454872478875898</v>
      </c>
      <c r="E177" s="1">
        <v>0.97242187499999899</v>
      </c>
      <c r="F177" s="1">
        <v>0.97242187499999899</v>
      </c>
      <c r="G177" s="1">
        <v>0.97242187499999899</v>
      </c>
      <c r="H177">
        <v>146</v>
      </c>
      <c r="I177">
        <v>136</v>
      </c>
      <c r="J177" s="16">
        <f t="shared" si="9"/>
        <v>2.3996577287797052E-2</v>
      </c>
      <c r="K177" s="16">
        <f t="shared" si="10"/>
        <v>-2.3340083244628811E-2</v>
      </c>
      <c r="L177" s="16">
        <f t="shared" si="11"/>
        <v>-2.1871677750564694E-3</v>
      </c>
      <c r="M177" s="16">
        <f t="shared" si="12"/>
        <v>2.1871677750564694E-3</v>
      </c>
    </row>
    <row r="178" spans="1:13" x14ac:dyDescent="0.3">
      <c r="A178" t="s">
        <v>185</v>
      </c>
      <c r="B178" s="1">
        <v>1.22172538504173</v>
      </c>
      <c r="C178" s="1">
        <v>0.98504622758565796</v>
      </c>
      <c r="D178" s="1">
        <v>1.3272524878170799</v>
      </c>
      <c r="E178" s="1">
        <v>1.0055839523668599</v>
      </c>
      <c r="F178" s="1">
        <v>1.0055839523668599</v>
      </c>
      <c r="G178" s="1">
        <v>1.0055839523668599</v>
      </c>
      <c r="H178">
        <v>483</v>
      </c>
      <c r="I178">
        <v>338</v>
      </c>
      <c r="J178" s="16">
        <f t="shared" si="9"/>
        <v>-0.21494121118991044</v>
      </c>
      <c r="K178" s="16">
        <f t="shared" si="10"/>
        <v>2.0423679925342865E-2</v>
      </c>
      <c r="L178" s="16">
        <f t="shared" si="11"/>
        <v>-0.31988232776895786</v>
      </c>
      <c r="M178" s="16">
        <f t="shared" si="12"/>
        <v>0.21494121118991044</v>
      </c>
    </row>
    <row r="179" spans="1:13" x14ac:dyDescent="0.3">
      <c r="A179" t="s">
        <v>186</v>
      </c>
      <c r="B179" s="1">
        <v>1.0799471767684401</v>
      </c>
      <c r="C179" s="1">
        <v>1.92591277501758</v>
      </c>
      <c r="D179" s="1">
        <v>1.0380928595773999</v>
      </c>
      <c r="E179" s="1">
        <v>0.96431522503516098</v>
      </c>
      <c r="F179" s="1">
        <v>0.96431522503516098</v>
      </c>
      <c r="G179" s="1">
        <v>0.96431522503516098</v>
      </c>
      <c r="H179">
        <v>1498</v>
      </c>
      <c r="I179">
        <v>1422</v>
      </c>
      <c r="J179" s="16">
        <f t="shared" si="9"/>
        <v>-0.1199109468888277</v>
      </c>
      <c r="K179" s="16">
        <f t="shared" si="10"/>
        <v>-0.99718175656446484</v>
      </c>
      <c r="L179" s="16">
        <f t="shared" si="11"/>
        <v>-7.6507798100511032E-2</v>
      </c>
      <c r="M179" s="16">
        <f t="shared" si="12"/>
        <v>0.1199109468888277</v>
      </c>
    </row>
    <row r="180" spans="1:13" x14ac:dyDescent="0.3">
      <c r="A180" t="s">
        <v>187</v>
      </c>
      <c r="B180" s="1">
        <v>0.98315988197242299</v>
      </c>
      <c r="C180" s="1">
        <v>0.95146872119930703</v>
      </c>
      <c r="D180" s="1">
        <v>0.96990663195706694</v>
      </c>
      <c r="E180" s="1">
        <v>1.00488810315955</v>
      </c>
      <c r="F180" s="1">
        <v>1.00488810315955</v>
      </c>
      <c r="G180" s="1">
        <v>1.00488810315955</v>
      </c>
      <c r="H180">
        <v>696</v>
      </c>
      <c r="I180">
        <v>633</v>
      </c>
      <c r="J180" s="16">
        <f t="shared" si="9"/>
        <v>2.162252803949969E-2</v>
      </c>
      <c r="K180" s="16">
        <f t="shared" si="10"/>
        <v>5.3159532680586805E-2</v>
      </c>
      <c r="L180" s="16">
        <f t="shared" si="11"/>
        <v>3.4811309928433821E-2</v>
      </c>
      <c r="M180" s="16">
        <f t="shared" si="12"/>
        <v>3.4811309928433821E-2</v>
      </c>
    </row>
    <row r="181" spans="1:13" x14ac:dyDescent="0.3">
      <c r="A181" t="s">
        <v>188</v>
      </c>
      <c r="B181" s="1">
        <v>0.99484535991394196</v>
      </c>
      <c r="C181" s="1">
        <v>0.98977492995485505</v>
      </c>
      <c r="D181" s="1">
        <v>0.99181450204996802</v>
      </c>
      <c r="E181" s="1">
        <v>1.0050110926305</v>
      </c>
      <c r="F181" s="1">
        <v>1.0050110926305</v>
      </c>
      <c r="G181" s="1">
        <v>1.0050110926305</v>
      </c>
      <c r="H181">
        <v>988</v>
      </c>
      <c r="I181">
        <v>977</v>
      </c>
      <c r="J181" s="16">
        <f t="shared" si="9"/>
        <v>1.0115045287659908E-2</v>
      </c>
      <c r="K181" s="16">
        <f t="shared" si="10"/>
        <v>1.5160193541512157E-2</v>
      </c>
      <c r="L181" s="16">
        <f t="shared" si="11"/>
        <v>1.3130790970666276E-2</v>
      </c>
      <c r="M181" s="16">
        <f t="shared" si="12"/>
        <v>1.3130790970666276E-2</v>
      </c>
    </row>
    <row r="182" spans="1:13" x14ac:dyDescent="0.3">
      <c r="A182" t="s">
        <v>189</v>
      </c>
      <c r="B182" s="1">
        <v>0.97533055140614899</v>
      </c>
      <c r="C182" s="1">
        <v>1.4455102549208101</v>
      </c>
      <c r="D182" s="1">
        <v>0.99812391475073603</v>
      </c>
      <c r="E182" s="1">
        <v>1.0042001823056299</v>
      </c>
      <c r="F182" s="1">
        <v>1.0042001823056299</v>
      </c>
      <c r="G182" s="1">
        <v>1.0042001823056299</v>
      </c>
      <c r="H182">
        <v>400</v>
      </c>
      <c r="I182">
        <v>373</v>
      </c>
      <c r="J182" s="16">
        <f t="shared" si="9"/>
        <v>2.8748880360882464E-2</v>
      </c>
      <c r="K182" s="16">
        <f t="shared" si="10"/>
        <v>-0.43946424267912226</v>
      </c>
      <c r="L182" s="16">
        <f t="shared" si="11"/>
        <v>6.0508528697364406E-3</v>
      </c>
      <c r="M182" s="16">
        <f t="shared" si="12"/>
        <v>6.0508528697364406E-3</v>
      </c>
    </row>
    <row r="183" spans="1:13" x14ac:dyDescent="0.3">
      <c r="A183" t="s">
        <v>190</v>
      </c>
      <c r="B183" s="1">
        <v>0.99567396567024202</v>
      </c>
      <c r="C183" s="1">
        <v>1.8013315672341701</v>
      </c>
      <c r="D183" s="1">
        <v>0.94341074880698905</v>
      </c>
      <c r="E183" s="1">
        <v>1.0038956126344001</v>
      </c>
      <c r="F183" s="1">
        <v>1.0038956126344001</v>
      </c>
      <c r="G183" s="1">
        <v>1.0038956126344001</v>
      </c>
      <c r="H183">
        <v>843</v>
      </c>
      <c r="I183">
        <v>744</v>
      </c>
      <c r="J183" s="16">
        <f t="shared" si="9"/>
        <v>8.1897428982511417E-3</v>
      </c>
      <c r="K183" s="16">
        <f t="shared" si="10"/>
        <v>-0.79434150778601043</v>
      </c>
      <c r="L183" s="16">
        <f t="shared" si="11"/>
        <v>6.0250152571827684E-2</v>
      </c>
      <c r="M183" s="16">
        <f t="shared" si="12"/>
        <v>8.1897428982511417E-3</v>
      </c>
    </row>
    <row r="184" spans="1:13" x14ac:dyDescent="0.3">
      <c r="A184" t="s">
        <v>191</v>
      </c>
      <c r="B184" s="1">
        <v>0.98493006246559001</v>
      </c>
      <c r="C184" s="1">
        <v>0.96935397261051004</v>
      </c>
      <c r="D184" s="1">
        <v>0.97800635124603996</v>
      </c>
      <c r="E184" s="1">
        <v>0.96641814159292005</v>
      </c>
      <c r="F184" s="1">
        <v>0.96641814159292005</v>
      </c>
      <c r="G184" s="1">
        <v>0.96641814159292005</v>
      </c>
      <c r="H184">
        <v>578</v>
      </c>
      <c r="I184">
        <v>565</v>
      </c>
      <c r="J184" s="16">
        <f t="shared" si="9"/>
        <v>-1.9155187672861014E-2</v>
      </c>
      <c r="K184" s="16">
        <f t="shared" si="10"/>
        <v>-3.0378475850535427E-3</v>
      </c>
      <c r="L184" s="16">
        <f t="shared" si="11"/>
        <v>-1.19908858850884E-2</v>
      </c>
      <c r="M184" s="16">
        <f t="shared" si="12"/>
        <v>1.19908858850884E-2</v>
      </c>
    </row>
    <row r="185" spans="1:13" x14ac:dyDescent="0.3">
      <c r="A185" t="s">
        <v>192</v>
      </c>
      <c r="B185" s="1">
        <v>0.97434241366091801</v>
      </c>
      <c r="C185" s="1">
        <v>0.97218757725085903</v>
      </c>
      <c r="D185" s="1">
        <v>0.97434249563055397</v>
      </c>
      <c r="E185" s="1">
        <v>0.96049945414847104</v>
      </c>
      <c r="F185" s="1">
        <v>0.96049945414847104</v>
      </c>
      <c r="G185" s="1">
        <v>0.96049945414847104</v>
      </c>
      <c r="H185">
        <v>459</v>
      </c>
      <c r="I185">
        <v>458</v>
      </c>
      <c r="J185" s="16">
        <f t="shared" si="9"/>
        <v>-1.441225130598269E-2</v>
      </c>
      <c r="K185" s="16">
        <f t="shared" si="10"/>
        <v>-1.2168797235548734E-2</v>
      </c>
      <c r="L185" s="16">
        <f t="shared" si="11"/>
        <v>-1.441233664662043E-2</v>
      </c>
      <c r="M185" s="16">
        <f t="shared" si="12"/>
        <v>1.441225130598269E-2</v>
      </c>
    </row>
    <row r="186" spans="1:13" x14ac:dyDescent="0.3">
      <c r="A186" t="s">
        <v>193</v>
      </c>
      <c r="B186" s="1">
        <v>0.98495416631879895</v>
      </c>
      <c r="C186" s="1">
        <v>0.984953452575965</v>
      </c>
      <c r="D186" s="1">
        <v>0.95103419571646897</v>
      </c>
      <c r="E186" s="1">
        <v>1.00493994414414</v>
      </c>
      <c r="F186" s="1">
        <v>1.00493994414414</v>
      </c>
      <c r="G186" s="1">
        <v>1.00493994414414</v>
      </c>
      <c r="H186">
        <v>118</v>
      </c>
      <c r="I186">
        <v>111</v>
      </c>
      <c r="J186" s="16">
        <f t="shared" si="9"/>
        <v>1.9887534515668995E-2</v>
      </c>
      <c r="K186" s="16">
        <f t="shared" si="10"/>
        <v>1.9888244749985091E-2</v>
      </c>
      <c r="L186" s="16">
        <f t="shared" si="11"/>
        <v>5.3640766039586604E-2</v>
      </c>
      <c r="M186" s="16">
        <f t="shared" si="12"/>
        <v>1.9888244749985091E-2</v>
      </c>
    </row>
    <row r="187" spans="1:13" x14ac:dyDescent="0.3">
      <c r="A187" t="s">
        <v>194</v>
      </c>
      <c r="B187" s="1">
        <v>0.99620671436680297</v>
      </c>
      <c r="C187" s="1">
        <v>0.99620671436437602</v>
      </c>
      <c r="D187" s="1">
        <v>0.99620671436803299</v>
      </c>
      <c r="E187" s="1">
        <v>1.00728682790697</v>
      </c>
      <c r="F187" s="1">
        <v>1.00728682790697</v>
      </c>
      <c r="G187" s="1">
        <v>1.00728682790697</v>
      </c>
      <c r="H187">
        <v>344</v>
      </c>
      <c r="I187">
        <v>344</v>
      </c>
      <c r="J187" s="16">
        <f t="shared" si="9"/>
        <v>1.0999958733889401E-2</v>
      </c>
      <c r="K187" s="16">
        <f t="shared" si="10"/>
        <v>1.0999958736298792E-2</v>
      </c>
      <c r="L187" s="16">
        <f t="shared" si="11"/>
        <v>1.0999958732668283E-2</v>
      </c>
      <c r="M187" s="16">
        <f t="shared" si="12"/>
        <v>1.0999958733889401E-2</v>
      </c>
    </row>
    <row r="188" spans="1:13" x14ac:dyDescent="0.3">
      <c r="A188" t="s">
        <v>195</v>
      </c>
      <c r="B188" s="1">
        <v>0.93687938589325204</v>
      </c>
      <c r="C188" s="1">
        <v>0.94583775656901004</v>
      </c>
      <c r="D188" s="1">
        <v>0.90835848867839597</v>
      </c>
      <c r="E188" s="1">
        <v>1.0163867487985201</v>
      </c>
      <c r="F188" s="1">
        <v>1.0163867487985201</v>
      </c>
      <c r="G188" s="1">
        <v>1.0163867487985201</v>
      </c>
      <c r="H188">
        <v>668</v>
      </c>
      <c r="I188">
        <v>541</v>
      </c>
      <c r="J188" s="16">
        <f t="shared" si="9"/>
        <v>7.8225501266377603E-2</v>
      </c>
      <c r="K188" s="16">
        <f t="shared" si="10"/>
        <v>6.9411562392865361E-2</v>
      </c>
      <c r="L188" s="16">
        <f t="shared" si="11"/>
        <v>0.1062865688162752</v>
      </c>
      <c r="M188" s="16">
        <f t="shared" si="12"/>
        <v>7.8225501266377603E-2</v>
      </c>
    </row>
    <row r="189" spans="1:13" x14ac:dyDescent="0.3">
      <c r="A189" t="s">
        <v>196</v>
      </c>
      <c r="B189" s="1">
        <v>1.0364301195125001</v>
      </c>
      <c r="C189" s="1">
        <v>1.0061304594956899</v>
      </c>
      <c r="D189" s="1">
        <v>1.01093752086274</v>
      </c>
      <c r="E189" s="1">
        <v>1.00540230344827</v>
      </c>
      <c r="F189" s="1">
        <v>1.00540230344827</v>
      </c>
      <c r="G189" s="1">
        <v>1.00540230344827</v>
      </c>
      <c r="H189">
        <v>857</v>
      </c>
      <c r="I189">
        <v>812</v>
      </c>
      <c r="J189" s="16">
        <f t="shared" si="9"/>
        <v>-3.0861095063948751E-2</v>
      </c>
      <c r="K189" s="16">
        <f t="shared" si="10"/>
        <v>-7.2424346445452699E-4</v>
      </c>
      <c r="L189" s="16">
        <f t="shared" si="11"/>
        <v>-5.5054751669910505E-3</v>
      </c>
      <c r="M189" s="16">
        <f t="shared" si="12"/>
        <v>5.5054751669910505E-3</v>
      </c>
    </row>
    <row r="190" spans="1:13" x14ac:dyDescent="0.3">
      <c r="A190" t="s">
        <v>197</v>
      </c>
      <c r="B190" s="1">
        <v>0.99653502075534905</v>
      </c>
      <c r="C190" s="1">
        <v>0.99463941195857097</v>
      </c>
      <c r="D190" s="1">
        <v>0.996486253102011</v>
      </c>
      <c r="E190" s="1">
        <v>1.0061380649253699</v>
      </c>
      <c r="F190" s="1">
        <v>1.0061380649253699</v>
      </c>
      <c r="G190" s="1">
        <v>1.0061380649253699</v>
      </c>
      <c r="H190">
        <v>537</v>
      </c>
      <c r="I190">
        <v>536</v>
      </c>
      <c r="J190" s="16">
        <f t="shared" si="9"/>
        <v>9.5444596569688421E-3</v>
      </c>
      <c r="K190" s="16">
        <f t="shared" si="10"/>
        <v>1.1428504066836874E-2</v>
      </c>
      <c r="L190" s="16">
        <f t="shared" si="11"/>
        <v>9.5929297974377582E-3</v>
      </c>
      <c r="M190" s="16">
        <f t="shared" si="12"/>
        <v>9.5929297974377582E-3</v>
      </c>
    </row>
    <row r="191" spans="1:13" x14ac:dyDescent="0.3">
      <c r="A191" t="s">
        <v>198</v>
      </c>
      <c r="B191" s="1">
        <v>0.99517877460336501</v>
      </c>
      <c r="C191" s="1">
        <v>0.98529258233739803</v>
      </c>
      <c r="D191" s="1">
        <v>0.99519113562679395</v>
      </c>
      <c r="E191" s="1">
        <v>1.0024723166112901</v>
      </c>
      <c r="F191" s="1">
        <v>1.0024723166112901</v>
      </c>
      <c r="G191" s="1">
        <v>1.0024723166112901</v>
      </c>
      <c r="H191">
        <v>304</v>
      </c>
      <c r="I191">
        <v>301</v>
      </c>
      <c r="J191" s="16">
        <f t="shared" si="9"/>
        <v>7.2755545335953364E-3</v>
      </c>
      <c r="K191" s="16">
        <f t="shared" si="10"/>
        <v>1.7137365281034031E-2</v>
      </c>
      <c r="L191" s="16">
        <f t="shared" si="11"/>
        <v>7.2632239951613909E-3</v>
      </c>
      <c r="M191" s="16">
        <f t="shared" si="12"/>
        <v>7.2755545335953364E-3</v>
      </c>
    </row>
    <row r="192" spans="1:13" x14ac:dyDescent="0.3">
      <c r="A192" t="s">
        <v>199</v>
      </c>
      <c r="B192" s="1">
        <v>0.92134085862656501</v>
      </c>
      <c r="C192" s="1">
        <v>0.91516094803902304</v>
      </c>
      <c r="D192" s="1">
        <v>0.94292335748228295</v>
      </c>
      <c r="E192" s="1">
        <v>1.0123874005940501</v>
      </c>
      <c r="F192" s="1">
        <v>1.0123874005940501</v>
      </c>
      <c r="G192" s="1">
        <v>1.0123874005940501</v>
      </c>
      <c r="H192">
        <v>645</v>
      </c>
      <c r="I192">
        <v>505</v>
      </c>
      <c r="J192" s="16">
        <f t="shared" si="9"/>
        <v>8.9932511915952987E-2</v>
      </c>
      <c r="K192" s="16">
        <f t="shared" si="10"/>
        <v>9.6036806165284525E-2</v>
      </c>
      <c r="L192" s="16">
        <f t="shared" si="11"/>
        <v>6.8614092857148284E-2</v>
      </c>
      <c r="M192" s="16">
        <f t="shared" si="12"/>
        <v>8.9932511915952987E-2</v>
      </c>
    </row>
    <row r="193" spans="1:13" x14ac:dyDescent="0.3">
      <c r="A193" t="s">
        <v>200</v>
      </c>
      <c r="B193" s="1">
        <v>0.99669449335889504</v>
      </c>
      <c r="C193" s="1">
        <v>0.98148402644817601</v>
      </c>
      <c r="D193" s="1">
        <v>0.99706638359980104</v>
      </c>
      <c r="E193" s="1">
        <v>0.981928327645051</v>
      </c>
      <c r="F193" s="1">
        <v>0.981928327645051</v>
      </c>
      <c r="G193" s="1">
        <v>0.981928327645051</v>
      </c>
      <c r="H193">
        <v>329</v>
      </c>
      <c r="I193">
        <v>293</v>
      </c>
      <c r="J193" s="16">
        <f t="shared" si="9"/>
        <v>-1.5037926188826415E-2</v>
      </c>
      <c r="K193" s="16">
        <f t="shared" si="10"/>
        <v>4.5247823529091959E-4</v>
      </c>
      <c r="L193" s="16">
        <f t="shared" si="11"/>
        <v>-1.541666079748966E-2</v>
      </c>
      <c r="M193" s="16">
        <f t="shared" si="12"/>
        <v>1.5037926188826415E-2</v>
      </c>
    </row>
    <row r="194" spans="1:13" x14ac:dyDescent="0.3">
      <c r="A194" t="s">
        <v>201</v>
      </c>
      <c r="B194" s="1">
        <v>0.96275309799230901</v>
      </c>
      <c r="C194" s="1">
        <v>0.95858703560269698</v>
      </c>
      <c r="D194" s="1">
        <v>0.96897554884581705</v>
      </c>
      <c r="E194" s="1">
        <v>0.97504836309523801</v>
      </c>
      <c r="F194" s="1">
        <v>0.97504836309523801</v>
      </c>
      <c r="G194" s="1">
        <v>0.97504836309523801</v>
      </c>
      <c r="H194">
        <v>943</v>
      </c>
      <c r="I194">
        <v>840</v>
      </c>
      <c r="J194" s="16">
        <f t="shared" si="9"/>
        <v>1.2609902819485125E-2</v>
      </c>
      <c r="K194" s="16">
        <f t="shared" si="10"/>
        <v>1.6882575383528099E-2</v>
      </c>
      <c r="L194" s="16">
        <f t="shared" si="11"/>
        <v>6.2282184958940365E-3</v>
      </c>
      <c r="M194" s="16">
        <f t="shared" si="12"/>
        <v>1.2609902819485125E-2</v>
      </c>
    </row>
    <row r="195" spans="1:13" x14ac:dyDescent="0.3">
      <c r="A195" t="s">
        <v>202</v>
      </c>
      <c r="B195" s="1">
        <v>0.99210220617743505</v>
      </c>
      <c r="C195" s="1">
        <v>0.997017528027348</v>
      </c>
      <c r="D195" s="1">
        <v>0.99701752771784002</v>
      </c>
      <c r="E195" s="1">
        <v>1.0059692564171101</v>
      </c>
      <c r="F195" s="1">
        <v>1.0059692564171101</v>
      </c>
      <c r="G195" s="1">
        <v>1.0059692564171101</v>
      </c>
      <c r="H195">
        <v>376</v>
      </c>
      <c r="I195">
        <v>374</v>
      </c>
      <c r="J195" s="16">
        <f t="shared" ref="J195:J258" si="13">(E195-B195)/E195</f>
        <v>1.3784765440113296E-2</v>
      </c>
      <c r="K195" s="16">
        <f t="shared" ref="K195:K258" si="14">(F195-C195)/F195</f>
        <v>8.898610303106921E-3</v>
      </c>
      <c r="L195" s="16">
        <f t="shared" ref="L195:L258" si="15">(G195-D195)/G195</f>
        <v>8.898610610778325E-3</v>
      </c>
      <c r="M195" s="16">
        <f t="shared" ref="M195:M258" si="16">ABS(MEDIAN(J195:L195))</f>
        <v>8.898610610778325E-3</v>
      </c>
    </row>
    <row r="196" spans="1:13" x14ac:dyDescent="0.3">
      <c r="A196" t="s">
        <v>203</v>
      </c>
      <c r="B196" s="1">
        <v>0.99522016610975195</v>
      </c>
      <c r="C196" s="1">
        <v>0.99522605378342499</v>
      </c>
      <c r="D196" s="1">
        <v>0.995221957931125</v>
      </c>
      <c r="E196" s="1">
        <v>1.0137101845808301</v>
      </c>
      <c r="F196" s="1">
        <v>1.0137101845808301</v>
      </c>
      <c r="G196" s="1">
        <v>1.0137101845808301</v>
      </c>
      <c r="H196">
        <v>668</v>
      </c>
      <c r="I196">
        <v>668</v>
      </c>
      <c r="J196" s="16">
        <f t="shared" si="13"/>
        <v>1.8239945452184398E-2</v>
      </c>
      <c r="K196" s="16">
        <f t="shared" si="14"/>
        <v>1.8234137407870946E-2</v>
      </c>
      <c r="L196" s="16">
        <f t="shared" si="15"/>
        <v>1.8238177864761181E-2</v>
      </c>
      <c r="M196" s="16">
        <f t="shared" si="16"/>
        <v>1.8238177864761181E-2</v>
      </c>
    </row>
    <row r="197" spans="1:13" x14ac:dyDescent="0.3">
      <c r="A197" t="s">
        <v>204</v>
      </c>
      <c r="B197" s="1">
        <v>0.993871617993348</v>
      </c>
      <c r="C197" s="1">
        <v>0.96014253336710698</v>
      </c>
      <c r="D197" s="1">
        <v>0.93443964255578604</v>
      </c>
      <c r="E197" s="1">
        <v>1.0051044320802001</v>
      </c>
      <c r="F197" s="1">
        <v>1.0051044320802001</v>
      </c>
      <c r="G197" s="1">
        <v>1.0051044320802001</v>
      </c>
      <c r="H197">
        <v>441</v>
      </c>
      <c r="I197">
        <v>399</v>
      </c>
      <c r="J197" s="16">
        <f t="shared" si="13"/>
        <v>1.1175768137450382E-2</v>
      </c>
      <c r="K197" s="16">
        <f t="shared" si="14"/>
        <v>4.4733559297951093E-2</v>
      </c>
      <c r="L197" s="16">
        <f t="shared" si="15"/>
        <v>7.0305917742461491E-2</v>
      </c>
      <c r="M197" s="16">
        <f t="shared" si="16"/>
        <v>4.4733559297951093E-2</v>
      </c>
    </row>
    <row r="198" spans="1:13" x14ac:dyDescent="0.3">
      <c r="A198" t="s">
        <v>205</v>
      </c>
      <c r="B198" s="1">
        <v>0.96324034388604396</v>
      </c>
      <c r="C198" s="1">
        <v>0.96982771138808199</v>
      </c>
      <c r="D198" s="1">
        <v>0.96449390904472299</v>
      </c>
      <c r="E198" s="1">
        <v>1.0067953154371501</v>
      </c>
      <c r="F198" s="1">
        <v>1.0067953154371501</v>
      </c>
      <c r="G198" s="1">
        <v>1.0067953154371501</v>
      </c>
      <c r="H198">
        <v>765</v>
      </c>
      <c r="I198">
        <v>732</v>
      </c>
      <c r="J198" s="16">
        <f t="shared" si="13"/>
        <v>4.3260999413961866E-2</v>
      </c>
      <c r="K198" s="16">
        <f t="shared" si="14"/>
        <v>3.6718093024714515E-2</v>
      </c>
      <c r="L198" s="16">
        <f t="shared" si="15"/>
        <v>4.201589513163341E-2</v>
      </c>
      <c r="M198" s="16">
        <f t="shared" si="16"/>
        <v>4.201589513163341E-2</v>
      </c>
    </row>
    <row r="199" spans="1:13" x14ac:dyDescent="0.3">
      <c r="A199" t="s">
        <v>206</v>
      </c>
      <c r="B199" s="1">
        <v>4.9069069394602396</v>
      </c>
      <c r="C199" s="1">
        <v>4.9014633959485403</v>
      </c>
      <c r="D199" s="1">
        <v>4.9070102270463298</v>
      </c>
      <c r="E199" s="1">
        <v>1.03031695346756</v>
      </c>
      <c r="F199" s="1">
        <v>1.03031695346756</v>
      </c>
      <c r="G199" s="1">
        <v>1.03031695346756</v>
      </c>
      <c r="H199">
        <v>895</v>
      </c>
      <c r="I199">
        <v>894</v>
      </c>
      <c r="J199" s="16">
        <f t="shared" si="13"/>
        <v>-3.7625217880244612</v>
      </c>
      <c r="K199" s="16">
        <f t="shared" si="14"/>
        <v>-3.7572384201313298</v>
      </c>
      <c r="L199" s="16">
        <f t="shared" si="15"/>
        <v>-3.76262203638565</v>
      </c>
      <c r="M199" s="16">
        <f t="shared" si="16"/>
        <v>3.7625217880244612</v>
      </c>
    </row>
    <row r="200" spans="1:13" x14ac:dyDescent="0.3">
      <c r="A200" t="s">
        <v>207</v>
      </c>
      <c r="B200" s="1">
        <v>0.996227781896042</v>
      </c>
      <c r="C200" s="1">
        <v>0.99906110098566703</v>
      </c>
      <c r="D200" s="1">
        <v>0.998995136256556</v>
      </c>
      <c r="E200" s="1">
        <v>0.94103529411764697</v>
      </c>
      <c r="F200" s="1">
        <v>0.94103529411764697</v>
      </c>
      <c r="G200" s="1">
        <v>0.94103529411764697</v>
      </c>
      <c r="H200">
        <v>341</v>
      </c>
      <c r="I200">
        <v>340</v>
      </c>
      <c r="J200" s="16">
        <f t="shared" si="13"/>
        <v>-5.8650815886927762E-2</v>
      </c>
      <c r="K200" s="16">
        <f t="shared" si="14"/>
        <v>-6.1661669047628459E-2</v>
      </c>
      <c r="L200" s="16">
        <f t="shared" si="15"/>
        <v>-6.1591571008242092E-2</v>
      </c>
      <c r="M200" s="16">
        <f t="shared" si="16"/>
        <v>6.1591571008242092E-2</v>
      </c>
    </row>
    <row r="201" spans="1:13" x14ac:dyDescent="0.3">
      <c r="A201" t="s">
        <v>208</v>
      </c>
      <c r="B201" s="1">
        <v>1.0182825984675099</v>
      </c>
      <c r="C201" s="1">
        <v>1.0067435794322801</v>
      </c>
      <c r="D201" s="1">
        <v>1.0138167410501799</v>
      </c>
      <c r="E201" s="1">
        <v>1.0031741464544099</v>
      </c>
      <c r="F201" s="1">
        <v>1.0031741464544099</v>
      </c>
      <c r="G201" s="1">
        <v>1.0031741464544099</v>
      </c>
      <c r="H201">
        <v>702</v>
      </c>
      <c r="I201">
        <v>691</v>
      </c>
      <c r="J201" s="16">
        <f t="shared" si="13"/>
        <v>-1.506064731283082E-2</v>
      </c>
      <c r="K201" s="16">
        <f t="shared" si="14"/>
        <v>-3.5581389238208134E-3</v>
      </c>
      <c r="L201" s="16">
        <f t="shared" si="15"/>
        <v>-1.0608920328922826E-2</v>
      </c>
      <c r="M201" s="16">
        <f t="shared" si="16"/>
        <v>1.0608920328922826E-2</v>
      </c>
    </row>
    <row r="202" spans="1:13" x14ac:dyDescent="0.3">
      <c r="A202" t="s">
        <v>209</v>
      </c>
      <c r="B202" s="1">
        <v>0.97526046420974899</v>
      </c>
      <c r="C202" s="1">
        <v>0.97638946416713901</v>
      </c>
      <c r="D202" s="1">
        <v>0.97927086413615805</v>
      </c>
      <c r="E202" s="1">
        <v>1.0094540310344799</v>
      </c>
      <c r="F202" s="1">
        <v>1.0094540310344799</v>
      </c>
      <c r="G202" s="1">
        <v>1.0094540310344799</v>
      </c>
      <c r="H202">
        <v>1848</v>
      </c>
      <c r="I202">
        <v>1827</v>
      </c>
      <c r="J202" s="16">
        <f t="shared" si="13"/>
        <v>3.3873327336847309E-2</v>
      </c>
      <c r="K202" s="16">
        <f t="shared" si="14"/>
        <v>3.2754901016598698E-2</v>
      </c>
      <c r="L202" s="16">
        <f t="shared" si="15"/>
        <v>2.9900486768466759E-2</v>
      </c>
      <c r="M202" s="16">
        <f t="shared" si="16"/>
        <v>3.2754901016598698E-2</v>
      </c>
    </row>
    <row r="203" spans="1:13" x14ac:dyDescent="0.3">
      <c r="A203" t="s">
        <v>210</v>
      </c>
      <c r="B203" s="1">
        <v>2.8600419974471301</v>
      </c>
      <c r="C203" s="1">
        <v>2.9091684638976001</v>
      </c>
      <c r="D203" s="1">
        <v>2.20104560557199</v>
      </c>
      <c r="E203" s="1">
        <v>1.0233291585570401</v>
      </c>
      <c r="F203" s="1">
        <v>1.0233291585570401</v>
      </c>
      <c r="G203" s="1">
        <v>1.0233291585570401</v>
      </c>
      <c r="H203">
        <v>759</v>
      </c>
      <c r="I203">
        <v>596</v>
      </c>
      <c r="J203" s="16">
        <f t="shared" si="13"/>
        <v>-1.7948407152591774</v>
      </c>
      <c r="K203" s="16">
        <f t="shared" si="14"/>
        <v>-1.8428472301128551</v>
      </c>
      <c r="L203" s="16">
        <f t="shared" si="15"/>
        <v>-1.1508676726026315</v>
      </c>
      <c r="M203" s="16">
        <f t="shared" si="16"/>
        <v>1.7948407152591774</v>
      </c>
    </row>
    <row r="204" spans="1:13" x14ac:dyDescent="0.3">
      <c r="A204" t="s">
        <v>211</v>
      </c>
      <c r="B204" s="1">
        <v>1.0008057562808099</v>
      </c>
      <c r="C204" s="1">
        <v>1.0007961822283999</v>
      </c>
      <c r="D204" s="1">
        <v>1.0008058470497501</v>
      </c>
      <c r="E204" s="1">
        <v>1.0029755620141301</v>
      </c>
      <c r="F204" s="1">
        <v>1.0029755620141301</v>
      </c>
      <c r="G204" s="1">
        <v>1.0029755620141301</v>
      </c>
      <c r="H204">
        <v>566</v>
      </c>
      <c r="I204">
        <v>566</v>
      </c>
      <c r="J204" s="16">
        <f t="shared" si="13"/>
        <v>2.1633684962002924E-3</v>
      </c>
      <c r="K204" s="16">
        <f t="shared" si="14"/>
        <v>2.1729141449404782E-3</v>
      </c>
      <c r="L204" s="16">
        <f t="shared" si="15"/>
        <v>2.1632779965474794E-3</v>
      </c>
      <c r="M204" s="16">
        <f t="shared" si="16"/>
        <v>2.1633684962002924E-3</v>
      </c>
    </row>
    <row r="205" spans="1:13" x14ac:dyDescent="0.3">
      <c r="A205" t="s">
        <v>212</v>
      </c>
      <c r="B205" s="1">
        <v>0.99695596285848798</v>
      </c>
      <c r="C205" s="1">
        <v>0.99270530576770699</v>
      </c>
      <c r="D205" s="1">
        <v>1.00118274030893</v>
      </c>
      <c r="E205" s="1">
        <v>1.0016809742489201</v>
      </c>
      <c r="F205" s="1">
        <v>1.0016809742489201</v>
      </c>
      <c r="G205" s="1">
        <v>1.0016809742489201</v>
      </c>
      <c r="H205">
        <v>236</v>
      </c>
      <c r="I205">
        <v>233</v>
      </c>
      <c r="J205" s="16">
        <f t="shared" si="13"/>
        <v>4.7170820968972056E-3</v>
      </c>
      <c r="K205" s="16">
        <f t="shared" si="14"/>
        <v>8.9606059333843767E-3</v>
      </c>
      <c r="L205" s="16">
        <f t="shared" si="15"/>
        <v>4.9739782705141358E-4</v>
      </c>
      <c r="M205" s="16">
        <f t="shared" si="16"/>
        <v>4.7170820968972056E-3</v>
      </c>
    </row>
    <row r="206" spans="1:13" x14ac:dyDescent="0.3">
      <c r="A206" t="s">
        <v>213</v>
      </c>
      <c r="B206" s="1">
        <v>0.96156158210193299</v>
      </c>
      <c r="C206" s="1">
        <v>0.97856622903867196</v>
      </c>
      <c r="D206" s="1">
        <v>0.91438615195489303</v>
      </c>
      <c r="E206" s="1">
        <v>1.4269737638461499</v>
      </c>
      <c r="F206" s="1">
        <v>1.4269737638461499</v>
      </c>
      <c r="G206" s="1">
        <v>1.4269737638461499</v>
      </c>
      <c r="H206">
        <v>158</v>
      </c>
      <c r="I206">
        <v>130</v>
      </c>
      <c r="J206" s="16">
        <f t="shared" si="13"/>
        <v>0.326153285740715</v>
      </c>
      <c r="K206" s="16">
        <f t="shared" si="14"/>
        <v>0.31423670579540053</v>
      </c>
      <c r="L206" s="16">
        <f t="shared" si="15"/>
        <v>0.35921305974797296</v>
      </c>
      <c r="M206" s="16">
        <f t="shared" si="16"/>
        <v>0.326153285740715</v>
      </c>
    </row>
    <row r="207" spans="1:13" x14ac:dyDescent="0.3">
      <c r="A207" t="s">
        <v>214</v>
      </c>
      <c r="B207" s="1">
        <v>1.0092508664256601</v>
      </c>
      <c r="C207" s="1">
        <v>1.0094707295324701</v>
      </c>
      <c r="D207" s="1">
        <v>1.0092491302523501</v>
      </c>
      <c r="E207" s="1">
        <v>1.0015666679999999</v>
      </c>
      <c r="F207" s="1">
        <v>1.0015666679999999</v>
      </c>
      <c r="G207" s="1">
        <v>1.0015666679999999</v>
      </c>
      <c r="H207">
        <v>125</v>
      </c>
      <c r="I207">
        <v>125</v>
      </c>
      <c r="J207" s="16">
        <f t="shared" si="13"/>
        <v>-7.6721786688493804E-3</v>
      </c>
      <c r="K207" s="16">
        <f t="shared" si="14"/>
        <v>-7.8916978619641334E-3</v>
      </c>
      <c r="L207" s="16">
        <f t="shared" si="15"/>
        <v>-7.6704452112918578E-3</v>
      </c>
      <c r="M207" s="16">
        <f t="shared" si="16"/>
        <v>7.6721786688493804E-3</v>
      </c>
    </row>
    <row r="208" spans="1:13" x14ac:dyDescent="0.3">
      <c r="A208" t="s">
        <v>215</v>
      </c>
      <c r="B208" s="1">
        <v>0.98436912681251598</v>
      </c>
      <c r="C208" s="1">
        <v>0.98437214756834601</v>
      </c>
      <c r="D208" s="1">
        <v>0.98437227939197103</v>
      </c>
      <c r="E208" s="1">
        <v>1.00559524285714</v>
      </c>
      <c r="F208" s="1">
        <v>1.00559524285714</v>
      </c>
      <c r="G208" s="1">
        <v>1.00559524285714</v>
      </c>
      <c r="H208">
        <v>357</v>
      </c>
      <c r="I208">
        <v>357</v>
      </c>
      <c r="J208" s="16">
        <f t="shared" si="13"/>
        <v>2.110801159352688E-2</v>
      </c>
      <c r="K208" s="16">
        <f t="shared" si="14"/>
        <v>2.1105007645515504E-2</v>
      </c>
      <c r="L208" s="16">
        <f t="shared" si="15"/>
        <v>2.1104876555371677E-2</v>
      </c>
      <c r="M208" s="16">
        <f t="shared" si="16"/>
        <v>2.1105007645515504E-2</v>
      </c>
    </row>
    <row r="209" spans="1:13" x14ac:dyDescent="0.3">
      <c r="A209" t="s">
        <v>216</v>
      </c>
      <c r="B209" s="1">
        <v>0.98571565632915903</v>
      </c>
      <c r="C209" s="1">
        <v>0.98009551487296498</v>
      </c>
      <c r="D209" s="1">
        <v>0.98108247552139805</v>
      </c>
      <c r="E209" s="1">
        <v>1.01348995601458</v>
      </c>
      <c r="F209" s="1">
        <v>1.01348995601458</v>
      </c>
      <c r="G209" s="1">
        <v>1.01348995601458</v>
      </c>
      <c r="H209">
        <v>865</v>
      </c>
      <c r="I209">
        <v>823</v>
      </c>
      <c r="J209" s="16">
        <f t="shared" si="13"/>
        <v>2.7404612665960591E-2</v>
      </c>
      <c r="K209" s="16">
        <f t="shared" si="14"/>
        <v>3.2949947795175426E-2</v>
      </c>
      <c r="L209" s="16">
        <f t="shared" si="15"/>
        <v>3.1976123987079524E-2</v>
      </c>
      <c r="M209" s="16">
        <f t="shared" si="16"/>
        <v>3.1976123987079524E-2</v>
      </c>
    </row>
    <row r="210" spans="1:13" x14ac:dyDescent="0.3">
      <c r="A210" t="s">
        <v>217</v>
      </c>
      <c r="B210" s="1">
        <v>0.96864149308515601</v>
      </c>
      <c r="C210" s="1">
        <v>0.97278153019514602</v>
      </c>
      <c r="D210" s="1">
        <v>0.97137306174872995</v>
      </c>
      <c r="E210" s="1">
        <v>1.0085302563701</v>
      </c>
      <c r="F210" s="1">
        <v>1.0085302563701</v>
      </c>
      <c r="G210" s="1">
        <v>1.0085302563701</v>
      </c>
      <c r="H210">
        <v>1420</v>
      </c>
      <c r="I210">
        <v>1405</v>
      </c>
      <c r="J210" s="16">
        <f t="shared" si="13"/>
        <v>3.9551379874820519E-2</v>
      </c>
      <c r="K210" s="16">
        <f t="shared" si="14"/>
        <v>3.5446359639839352E-2</v>
      </c>
      <c r="L210" s="16">
        <f t="shared" si="15"/>
        <v>3.6842915110059382E-2</v>
      </c>
      <c r="M210" s="16">
        <f t="shared" si="16"/>
        <v>3.6842915110059382E-2</v>
      </c>
    </row>
    <row r="211" spans="1:13" x14ac:dyDescent="0.3">
      <c r="A211" t="s">
        <v>218</v>
      </c>
      <c r="B211" s="1">
        <v>0.99603396699831304</v>
      </c>
      <c r="C211" s="1">
        <v>1.0020848034443599</v>
      </c>
      <c r="D211" s="1">
        <v>1.0021214322042</v>
      </c>
      <c r="E211" s="1">
        <v>1.0017695798192701</v>
      </c>
      <c r="F211" s="1">
        <v>1.0017695798192701</v>
      </c>
      <c r="G211" s="1">
        <v>1.0017695798192701</v>
      </c>
      <c r="H211">
        <v>334</v>
      </c>
      <c r="I211">
        <v>332</v>
      </c>
      <c r="J211" s="16">
        <f t="shared" si="13"/>
        <v>5.7254811251024329E-3</v>
      </c>
      <c r="K211" s="16">
        <f t="shared" si="14"/>
        <v>-3.1466679707594443E-4</v>
      </c>
      <c r="L211" s="16">
        <f t="shared" si="15"/>
        <v>-3.5123085389899796E-4</v>
      </c>
      <c r="M211" s="16">
        <f t="shared" si="16"/>
        <v>3.1466679707594443E-4</v>
      </c>
    </row>
    <row r="212" spans="1:13" x14ac:dyDescent="0.3">
      <c r="A212" t="s">
        <v>219</v>
      </c>
      <c r="B212" s="1">
        <v>0.98708980043778904</v>
      </c>
      <c r="C212" s="1">
        <v>0.98712958642651905</v>
      </c>
      <c r="D212" s="1">
        <v>0.98952468602973498</v>
      </c>
      <c r="E212" s="1">
        <v>1.02369538085277</v>
      </c>
      <c r="F212" s="1">
        <v>1.02369538085277</v>
      </c>
      <c r="G212" s="1">
        <v>1.02369538085277</v>
      </c>
      <c r="H212">
        <v>1255</v>
      </c>
      <c r="I212">
        <v>1243</v>
      </c>
      <c r="J212" s="16">
        <f t="shared" si="13"/>
        <v>3.5758274482480701E-2</v>
      </c>
      <c r="K212" s="16">
        <f t="shared" si="14"/>
        <v>3.5719409416295818E-2</v>
      </c>
      <c r="L212" s="16">
        <f t="shared" si="15"/>
        <v>3.3379748958689039E-2</v>
      </c>
      <c r="M212" s="16">
        <f t="shared" si="16"/>
        <v>3.5719409416295818E-2</v>
      </c>
    </row>
    <row r="213" spans="1:13" x14ac:dyDescent="0.3">
      <c r="A213" t="s">
        <v>220</v>
      </c>
      <c r="B213" s="1">
        <v>0.96225603682244498</v>
      </c>
      <c r="C213" s="1">
        <v>0.96587971378549897</v>
      </c>
      <c r="D213" s="1">
        <v>0.97635576867121299</v>
      </c>
      <c r="E213" s="1">
        <v>1.0083178764948399</v>
      </c>
      <c r="F213" s="1">
        <v>1.0083178764948399</v>
      </c>
      <c r="G213" s="1">
        <v>1.0083178764948399</v>
      </c>
      <c r="H213">
        <v>1507</v>
      </c>
      <c r="I213">
        <v>1455</v>
      </c>
      <c r="J213" s="16">
        <f t="shared" si="13"/>
        <v>4.5681863573139463E-2</v>
      </c>
      <c r="K213" s="16">
        <f t="shared" si="14"/>
        <v>4.2088079264117013E-2</v>
      </c>
      <c r="L213" s="16">
        <f t="shared" si="15"/>
        <v>3.1698444080685229E-2</v>
      </c>
      <c r="M213" s="16">
        <f t="shared" si="16"/>
        <v>4.2088079264117013E-2</v>
      </c>
    </row>
    <row r="214" spans="1:13" x14ac:dyDescent="0.3">
      <c r="A214" t="s">
        <v>221</v>
      </c>
      <c r="B214" s="1">
        <v>0.95514331338279101</v>
      </c>
      <c r="C214" s="1">
        <v>0.93629861041026197</v>
      </c>
      <c r="D214" s="1">
        <v>0.91992442364295202</v>
      </c>
      <c r="E214" s="1">
        <v>1.0064787022556301</v>
      </c>
      <c r="F214" s="1">
        <v>1.0064787022556301</v>
      </c>
      <c r="G214" s="1">
        <v>1.0064787022556301</v>
      </c>
      <c r="H214">
        <v>798</v>
      </c>
      <c r="I214">
        <v>665</v>
      </c>
      <c r="J214" s="16">
        <f t="shared" si="13"/>
        <v>5.1004943033360547E-2</v>
      </c>
      <c r="K214" s="16">
        <f t="shared" si="14"/>
        <v>6.9728342674402116E-2</v>
      </c>
      <c r="L214" s="16">
        <f t="shared" si="15"/>
        <v>8.5997128820212834E-2</v>
      </c>
      <c r="M214" s="16">
        <f t="shared" si="16"/>
        <v>6.9728342674402116E-2</v>
      </c>
    </row>
    <row r="215" spans="1:13" x14ac:dyDescent="0.3">
      <c r="A215" t="s">
        <v>222</v>
      </c>
      <c r="B215" s="1">
        <v>1.02702155297247</v>
      </c>
      <c r="C215" s="1">
        <v>1.02720378217834</v>
      </c>
      <c r="D215" s="1">
        <v>1.02706210114645</v>
      </c>
      <c r="E215" s="1">
        <v>1.0034612432558101</v>
      </c>
      <c r="F215" s="1">
        <v>1.0034612432558101</v>
      </c>
      <c r="G215" s="1">
        <v>1.0034612432558101</v>
      </c>
      <c r="H215">
        <v>215</v>
      </c>
      <c r="I215">
        <v>215</v>
      </c>
      <c r="J215" s="16">
        <f t="shared" si="13"/>
        <v>-2.347904303729419E-2</v>
      </c>
      <c r="K215" s="16">
        <f t="shared" si="14"/>
        <v>-2.3660643679167221E-2</v>
      </c>
      <c r="L215" s="16">
        <f t="shared" si="15"/>
        <v>-2.3519451348280335E-2</v>
      </c>
      <c r="M215" s="16">
        <f t="shared" si="16"/>
        <v>2.3519451348280335E-2</v>
      </c>
    </row>
    <row r="216" spans="1:13" x14ac:dyDescent="0.3">
      <c r="A216" t="s">
        <v>223</v>
      </c>
      <c r="B216" s="1">
        <v>0.986002844583035</v>
      </c>
      <c r="C216" s="1">
        <v>0.98600284457988296</v>
      </c>
      <c r="D216" s="1">
        <v>0.98600284459003196</v>
      </c>
      <c r="E216" s="1">
        <v>1.0095528536585301</v>
      </c>
      <c r="F216" s="1">
        <v>1.0095528536585301</v>
      </c>
      <c r="G216" s="1">
        <v>1.0095528536585301</v>
      </c>
      <c r="H216">
        <v>902</v>
      </c>
      <c r="I216">
        <v>902</v>
      </c>
      <c r="J216" s="16">
        <f t="shared" si="13"/>
        <v>2.3327168052818578E-2</v>
      </c>
      <c r="K216" s="16">
        <f t="shared" si="14"/>
        <v>2.3327168055940786E-2</v>
      </c>
      <c r="L216" s="16">
        <f t="shared" si="15"/>
        <v>2.3327168045887827E-2</v>
      </c>
      <c r="M216" s="16">
        <f t="shared" si="16"/>
        <v>2.3327168052818578E-2</v>
      </c>
    </row>
    <row r="217" spans="1:13" x14ac:dyDescent="0.3">
      <c r="A217" t="s">
        <v>224</v>
      </c>
      <c r="B217" s="1">
        <v>1.0025012018274</v>
      </c>
      <c r="C217" s="1">
        <v>0.96298372109399999</v>
      </c>
      <c r="D217" s="1">
        <v>1.0024875172168499</v>
      </c>
      <c r="E217" s="1">
        <v>1.0018778554794501</v>
      </c>
      <c r="F217" s="1">
        <v>1.0018778554794501</v>
      </c>
      <c r="G217" s="1">
        <v>1.0018778554794501</v>
      </c>
      <c r="H217">
        <v>152</v>
      </c>
      <c r="I217">
        <v>146</v>
      </c>
      <c r="J217" s="16">
        <f t="shared" si="13"/>
        <v>-6.2217798760669523E-4</v>
      </c>
      <c r="K217" s="16">
        <f t="shared" si="14"/>
        <v>3.8821233718991863E-2</v>
      </c>
      <c r="L217" s="16">
        <f t="shared" si="15"/>
        <v>-6.0851902661137518E-4</v>
      </c>
      <c r="M217" s="16">
        <f t="shared" si="16"/>
        <v>6.0851902661137518E-4</v>
      </c>
    </row>
    <row r="218" spans="1:13" x14ac:dyDescent="0.3">
      <c r="A218" t="s">
        <v>225</v>
      </c>
      <c r="B218" s="1">
        <v>0.94633838237906598</v>
      </c>
      <c r="C218" s="1">
        <v>0.95230522363827996</v>
      </c>
      <c r="D218" s="1">
        <v>0.969085437592766</v>
      </c>
      <c r="E218" s="1">
        <v>0.97651411290322498</v>
      </c>
      <c r="F218" s="1">
        <v>0.97651411290322498</v>
      </c>
      <c r="G218" s="1">
        <v>0.97651411290322498</v>
      </c>
      <c r="H218">
        <v>357</v>
      </c>
      <c r="I218">
        <v>310</v>
      </c>
      <c r="J218" s="16">
        <f t="shared" si="13"/>
        <v>3.0901479175190882E-2</v>
      </c>
      <c r="K218" s="16">
        <f t="shared" si="14"/>
        <v>2.4791130967857487E-2</v>
      </c>
      <c r="L218" s="16">
        <f t="shared" si="15"/>
        <v>7.6073404493593715E-3</v>
      </c>
      <c r="M218" s="16">
        <f t="shared" si="16"/>
        <v>2.4791130967857487E-2</v>
      </c>
    </row>
    <row r="219" spans="1:13" x14ac:dyDescent="0.3">
      <c r="A219" t="s">
        <v>226</v>
      </c>
      <c r="B219" s="1">
        <v>0.98722012392498304</v>
      </c>
      <c r="C219" s="1">
        <v>0.99193926454597403</v>
      </c>
      <c r="D219" s="1">
        <v>0.99193926514505404</v>
      </c>
      <c r="E219" s="1">
        <v>1.00756520611246</v>
      </c>
      <c r="F219" s="1">
        <v>1.00756520611246</v>
      </c>
      <c r="G219" s="1">
        <v>1.00756520611246</v>
      </c>
      <c r="H219">
        <v>822</v>
      </c>
      <c r="I219">
        <v>818</v>
      </c>
      <c r="J219" s="16">
        <f t="shared" si="13"/>
        <v>2.0192323101326074E-2</v>
      </c>
      <c r="K219" s="16">
        <f t="shared" si="14"/>
        <v>1.5508615692255159E-2</v>
      </c>
      <c r="L219" s="16">
        <f t="shared" si="15"/>
        <v>1.5508615097673286E-2</v>
      </c>
      <c r="M219" s="16">
        <f t="shared" si="16"/>
        <v>1.5508615692255159E-2</v>
      </c>
    </row>
    <row r="220" spans="1:13" x14ac:dyDescent="0.3">
      <c r="A220" t="s">
        <v>227</v>
      </c>
      <c r="B220" s="1">
        <v>0.99652381522084699</v>
      </c>
      <c r="C220" s="1">
        <v>0.99230403051440796</v>
      </c>
      <c r="D220" s="1">
        <v>0.99652381521401501</v>
      </c>
      <c r="E220" s="1">
        <v>0.97008474576271098</v>
      </c>
      <c r="F220" s="1">
        <v>0.97008474576271098</v>
      </c>
      <c r="G220" s="1">
        <v>0.97008474576271098</v>
      </c>
      <c r="H220">
        <v>237</v>
      </c>
      <c r="I220">
        <v>236</v>
      </c>
      <c r="J220" s="16">
        <f t="shared" si="13"/>
        <v>-2.7254391509216845E-2</v>
      </c>
      <c r="K220" s="16">
        <f t="shared" si="14"/>
        <v>-2.2904478035295248E-2</v>
      </c>
      <c r="L220" s="16">
        <f t="shared" si="15"/>
        <v>-2.725439150217418E-2</v>
      </c>
      <c r="M220" s="16">
        <f t="shared" si="16"/>
        <v>2.725439150217418E-2</v>
      </c>
    </row>
    <row r="221" spans="1:13" x14ac:dyDescent="0.3">
      <c r="A221" t="s">
        <v>228</v>
      </c>
      <c r="B221" s="1">
        <v>0.98477281585268905</v>
      </c>
      <c r="C221" s="1">
        <v>0.97698591442543703</v>
      </c>
      <c r="D221" s="1">
        <v>0.98218669863747599</v>
      </c>
      <c r="E221" s="1">
        <v>1.00616798425196</v>
      </c>
      <c r="F221" s="1">
        <v>1.00616798425196</v>
      </c>
      <c r="G221" s="1">
        <v>1.00616798425196</v>
      </c>
      <c r="H221">
        <v>770</v>
      </c>
      <c r="I221">
        <v>762</v>
      </c>
      <c r="J221" s="16">
        <f t="shared" si="13"/>
        <v>2.126401230623259E-2</v>
      </c>
      <c r="K221" s="16">
        <f t="shared" si="14"/>
        <v>2.9003178677185278E-2</v>
      </c>
      <c r="L221" s="16">
        <f t="shared" si="15"/>
        <v>2.383427617438352E-2</v>
      </c>
      <c r="M221" s="16">
        <f t="shared" si="16"/>
        <v>2.383427617438352E-2</v>
      </c>
    </row>
    <row r="222" spans="1:13" x14ac:dyDescent="0.3">
      <c r="A222" t="s">
        <v>229</v>
      </c>
      <c r="B222" s="1">
        <v>0.99999999996464395</v>
      </c>
      <c r="C222" s="1">
        <v>0.99999999996464395</v>
      </c>
      <c r="D222" s="1">
        <v>0.99999999996464395</v>
      </c>
      <c r="E222" s="1">
        <v>0.88968749999999996</v>
      </c>
      <c r="F222" s="1">
        <v>0.88968749999999996</v>
      </c>
      <c r="G222" s="1">
        <v>0.88968749999999996</v>
      </c>
      <c r="H222">
        <v>2</v>
      </c>
      <c r="I222">
        <v>2</v>
      </c>
      <c r="J222" s="16">
        <f t="shared" si="13"/>
        <v>-0.12399016504631569</v>
      </c>
      <c r="K222" s="16">
        <f t="shared" si="14"/>
        <v>-0.12399016504631569</v>
      </c>
      <c r="L222" s="16">
        <f t="shared" si="15"/>
        <v>-0.12399016504631569</v>
      </c>
      <c r="M222" s="16">
        <f t="shared" si="16"/>
        <v>0.12399016504631569</v>
      </c>
    </row>
    <row r="223" spans="1:13" x14ac:dyDescent="0.3">
      <c r="A223" t="s">
        <v>230</v>
      </c>
      <c r="B223" s="1">
        <v>0.99665767715017195</v>
      </c>
      <c r="C223" s="1">
        <v>0.99663024155583302</v>
      </c>
      <c r="D223" s="1">
        <v>0.99661010173388298</v>
      </c>
      <c r="E223" s="1">
        <v>1.00317322800925</v>
      </c>
      <c r="F223" s="1">
        <v>1.00317322800925</v>
      </c>
      <c r="G223" s="1">
        <v>1.00317322800925</v>
      </c>
      <c r="H223">
        <v>432</v>
      </c>
      <c r="I223">
        <v>432</v>
      </c>
      <c r="J223" s="16">
        <f t="shared" si="13"/>
        <v>6.4949409305986678E-3</v>
      </c>
      <c r="K223" s="16">
        <f t="shared" si="14"/>
        <v>6.522289740926647E-3</v>
      </c>
      <c r="L223" s="16">
        <f t="shared" si="15"/>
        <v>6.5423658567835309E-3</v>
      </c>
      <c r="M223" s="16">
        <f t="shared" si="16"/>
        <v>6.522289740926647E-3</v>
      </c>
    </row>
    <row r="224" spans="1:13" x14ac:dyDescent="0.3">
      <c r="A224" t="s">
        <v>231</v>
      </c>
      <c r="B224" s="1">
        <v>2.2370967705693099</v>
      </c>
      <c r="C224" s="1">
        <v>0.99392214356111896</v>
      </c>
      <c r="D224" s="1">
        <v>2.1422271589783102</v>
      </c>
      <c r="E224" s="1">
        <v>0.97245466706301997</v>
      </c>
      <c r="F224" s="1">
        <v>0.97245466706301997</v>
      </c>
      <c r="G224" s="1">
        <v>0.97245466706301997</v>
      </c>
      <c r="H224">
        <v>883</v>
      </c>
      <c r="I224">
        <v>841</v>
      </c>
      <c r="J224" s="16">
        <f t="shared" si="13"/>
        <v>-1.3004638121854319</v>
      </c>
      <c r="K224" s="16">
        <f t="shared" si="14"/>
        <v>-2.2075555010635566E-2</v>
      </c>
      <c r="L224" s="16">
        <f t="shared" si="15"/>
        <v>-1.2029069647515849</v>
      </c>
      <c r="M224" s="16">
        <f t="shared" si="16"/>
        <v>1.2029069647515849</v>
      </c>
    </row>
    <row r="225" spans="1:13" x14ac:dyDescent="0.3">
      <c r="A225" t="s">
        <v>232</v>
      </c>
      <c r="B225" s="1">
        <v>1.0188185382056401</v>
      </c>
      <c r="C225" s="1">
        <v>1.01873584811211</v>
      </c>
      <c r="D225" s="1">
        <v>1.01916304979213</v>
      </c>
      <c r="E225" s="1">
        <v>0.97975276898734098</v>
      </c>
      <c r="F225" s="1">
        <v>0.97975276898734098</v>
      </c>
      <c r="G225" s="1">
        <v>0.97975276898734098</v>
      </c>
      <c r="H225">
        <v>316</v>
      </c>
      <c r="I225">
        <v>316</v>
      </c>
      <c r="J225" s="16">
        <f t="shared" si="13"/>
        <v>-3.9873088859628245E-2</v>
      </c>
      <c r="K225" s="16">
        <f t="shared" si="14"/>
        <v>-3.9788689921296611E-2</v>
      </c>
      <c r="L225" s="16">
        <f t="shared" si="15"/>
        <v>-4.0224720003111558E-2</v>
      </c>
      <c r="M225" s="16">
        <f t="shared" si="16"/>
        <v>3.9873088859628245E-2</v>
      </c>
    </row>
    <row r="226" spans="1:13" x14ac:dyDescent="0.3">
      <c r="A226" t="s">
        <v>233</v>
      </c>
      <c r="B226" s="1">
        <v>1.00079561465455</v>
      </c>
      <c r="C226" s="1">
        <v>1.00075580824516</v>
      </c>
      <c r="D226" s="1">
        <v>1.0008064624188999</v>
      </c>
      <c r="E226" s="1">
        <v>1.00144091538461</v>
      </c>
      <c r="F226" s="1">
        <v>1.00144091538461</v>
      </c>
      <c r="G226" s="1">
        <v>1.00144091538461</v>
      </c>
      <c r="H226">
        <v>299</v>
      </c>
      <c r="I226">
        <v>299</v>
      </c>
      <c r="J226" s="16">
        <f t="shared" si="13"/>
        <v>6.4437224417991776E-4</v>
      </c>
      <c r="K226" s="16">
        <f t="shared" si="14"/>
        <v>6.8412137843090358E-4</v>
      </c>
      <c r="L226" s="16">
        <f t="shared" si="15"/>
        <v>6.3354008805043601E-4</v>
      </c>
      <c r="M226" s="16">
        <f t="shared" si="16"/>
        <v>6.4437224417991776E-4</v>
      </c>
    </row>
    <row r="227" spans="1:13" x14ac:dyDescent="0.3">
      <c r="A227" t="s">
        <v>234</v>
      </c>
      <c r="B227" s="1">
        <v>0.99552129826878</v>
      </c>
      <c r="C227" s="1">
        <v>1.0002365686169301</v>
      </c>
      <c r="D227" s="1">
        <v>0.98143424329478701</v>
      </c>
      <c r="E227" s="1">
        <v>1.0014122608172999</v>
      </c>
      <c r="F227" s="1">
        <v>1.0014122608172999</v>
      </c>
      <c r="G227" s="1">
        <v>1.0014122608172999</v>
      </c>
      <c r="H227">
        <v>426</v>
      </c>
      <c r="I227">
        <v>416</v>
      </c>
      <c r="J227" s="16">
        <f t="shared" si="13"/>
        <v>5.8826547057772771E-3</v>
      </c>
      <c r="K227" s="16">
        <f t="shared" si="14"/>
        <v>1.1740341579304209E-3</v>
      </c>
      <c r="L227" s="16">
        <f t="shared" si="15"/>
        <v>1.9949843140733999E-2</v>
      </c>
      <c r="M227" s="16">
        <f t="shared" si="16"/>
        <v>5.8826547057772771E-3</v>
      </c>
    </row>
    <row r="228" spans="1:13" x14ac:dyDescent="0.3">
      <c r="A228" t="s">
        <v>235</v>
      </c>
      <c r="B228" s="1">
        <v>1.0023962992192501</v>
      </c>
      <c r="C228" s="1">
        <v>1.3216395913302099</v>
      </c>
      <c r="D228" s="1">
        <v>0.95842839120568102</v>
      </c>
      <c r="E228" s="1">
        <v>0.96994979627473799</v>
      </c>
      <c r="F228" s="1">
        <v>0.96994979627473799</v>
      </c>
      <c r="G228" s="1">
        <v>0.96994979627473799</v>
      </c>
      <c r="H228">
        <v>959</v>
      </c>
      <c r="I228">
        <v>859</v>
      </c>
      <c r="J228" s="16">
        <f t="shared" si="13"/>
        <v>-3.345173437751995E-2</v>
      </c>
      <c r="K228" s="16">
        <f t="shared" si="14"/>
        <v>-0.36258556515625673</v>
      </c>
      <c r="L228" s="16">
        <f t="shared" si="15"/>
        <v>1.1878351965541866E-2</v>
      </c>
      <c r="M228" s="16">
        <f t="shared" si="16"/>
        <v>3.345173437751995E-2</v>
      </c>
    </row>
    <row r="229" spans="1:13" x14ac:dyDescent="0.3">
      <c r="A229" t="s">
        <v>236</v>
      </c>
      <c r="B229" s="1">
        <v>0.99151876571460795</v>
      </c>
      <c r="C229" s="1">
        <v>0.99153422980817896</v>
      </c>
      <c r="D229" s="1">
        <v>0.991529810363593</v>
      </c>
      <c r="E229" s="1">
        <v>1.0026848141128999</v>
      </c>
      <c r="F229" s="1">
        <v>1.0026848141128999</v>
      </c>
      <c r="G229" s="1">
        <v>1.0026848141128999</v>
      </c>
      <c r="H229">
        <v>496</v>
      </c>
      <c r="I229">
        <v>496</v>
      </c>
      <c r="J229" s="16">
        <f t="shared" si="13"/>
        <v>1.1136149905861314E-2</v>
      </c>
      <c r="K229" s="16">
        <f t="shared" si="14"/>
        <v>1.1120727219336749E-2</v>
      </c>
      <c r="L229" s="16">
        <f t="shared" si="15"/>
        <v>1.112513483030657E-2</v>
      </c>
      <c r="M229" s="16">
        <f t="shared" si="16"/>
        <v>1.112513483030657E-2</v>
      </c>
    </row>
    <row r="230" spans="1:13" x14ac:dyDescent="0.3">
      <c r="A230" t="s">
        <v>237</v>
      </c>
      <c r="B230" s="1">
        <v>0.98050218457294602</v>
      </c>
      <c r="C230" s="1">
        <v>0.98642216234935998</v>
      </c>
      <c r="D230" s="1">
        <v>0.98642216443721098</v>
      </c>
      <c r="E230" s="1">
        <v>0.97652849006024001</v>
      </c>
      <c r="F230" s="1">
        <v>0.97652849006024001</v>
      </c>
      <c r="G230" s="1">
        <v>0.97652849006024001</v>
      </c>
      <c r="H230">
        <v>334</v>
      </c>
      <c r="I230">
        <v>332</v>
      </c>
      <c r="J230" s="16">
        <f t="shared" si="13"/>
        <v>-4.0692048958662613E-3</v>
      </c>
      <c r="K230" s="16">
        <f t="shared" si="14"/>
        <v>-1.0131473264553346E-2</v>
      </c>
      <c r="L230" s="16">
        <f t="shared" si="15"/>
        <v>-1.0131475402587234E-2</v>
      </c>
      <c r="M230" s="16">
        <f t="shared" si="16"/>
        <v>1.0131473264553346E-2</v>
      </c>
    </row>
    <row r="231" spans="1:13" x14ac:dyDescent="0.3">
      <c r="A231" t="s">
        <v>238</v>
      </c>
      <c r="B231" s="1">
        <v>0.98995160064663901</v>
      </c>
      <c r="C231" s="1">
        <v>0.97641084329715699</v>
      </c>
      <c r="D231" s="1">
        <v>0.97307018957214797</v>
      </c>
      <c r="E231" s="1">
        <v>1.00813497386231</v>
      </c>
      <c r="F231" s="1">
        <v>1.00813497386231</v>
      </c>
      <c r="G231" s="1">
        <v>1.00813497386231</v>
      </c>
      <c r="H231">
        <v>961</v>
      </c>
      <c r="I231">
        <v>857</v>
      </c>
      <c r="J231" s="16">
        <f t="shared" si="13"/>
        <v>1.8036645575351749E-2</v>
      </c>
      <c r="K231" s="16">
        <f t="shared" si="14"/>
        <v>3.1468138084341318E-2</v>
      </c>
      <c r="L231" s="16">
        <f t="shared" si="15"/>
        <v>3.4781834971783381E-2</v>
      </c>
      <c r="M231" s="16">
        <f t="shared" si="16"/>
        <v>3.1468138084341318E-2</v>
      </c>
    </row>
    <row r="232" spans="1:13" x14ac:dyDescent="0.3">
      <c r="A232" t="s">
        <v>239</v>
      </c>
      <c r="B232" s="1">
        <v>0.98736780376978905</v>
      </c>
      <c r="C232" s="1">
        <v>0.96921048066936599</v>
      </c>
      <c r="D232" s="1">
        <v>0.98962086604498201</v>
      </c>
      <c r="E232" s="1">
        <v>0.97286977958236598</v>
      </c>
      <c r="F232" s="1">
        <v>0.97286977958236598</v>
      </c>
      <c r="G232" s="1">
        <v>0.97286977958236598</v>
      </c>
      <c r="H232">
        <v>441</v>
      </c>
      <c r="I232">
        <v>431</v>
      </c>
      <c r="J232" s="16">
        <f t="shared" si="13"/>
        <v>-1.4902327620503121E-2</v>
      </c>
      <c r="K232" s="16">
        <f t="shared" si="14"/>
        <v>3.7613450328068082E-3</v>
      </c>
      <c r="L232" s="16">
        <f t="shared" si="15"/>
        <v>-1.7218220582210852E-2</v>
      </c>
      <c r="M232" s="16">
        <f t="shared" si="16"/>
        <v>1.4902327620503121E-2</v>
      </c>
    </row>
    <row r="233" spans="1:13" x14ac:dyDescent="0.3">
      <c r="A233" t="s">
        <v>240</v>
      </c>
      <c r="B233" s="1">
        <v>1.00102488279372</v>
      </c>
      <c r="C233" s="1">
        <v>1.0020423143912001</v>
      </c>
      <c r="D233" s="1">
        <v>1.0091523765806101</v>
      </c>
      <c r="E233" s="1">
        <v>1.0074435514988</v>
      </c>
      <c r="F233" s="1">
        <v>1.0074435514988</v>
      </c>
      <c r="G233" s="1">
        <v>1.0074435514988</v>
      </c>
      <c r="H233">
        <v>1695</v>
      </c>
      <c r="I233">
        <v>1668</v>
      </c>
      <c r="J233" s="16">
        <f t="shared" si="13"/>
        <v>6.3712440220901603E-3</v>
      </c>
      <c r="K233" s="16">
        <f t="shared" si="14"/>
        <v>5.3613297733301549E-3</v>
      </c>
      <c r="L233" s="16">
        <f t="shared" si="15"/>
        <v>-1.6961993347098848E-3</v>
      </c>
      <c r="M233" s="16">
        <f t="shared" si="16"/>
        <v>5.3613297733301549E-3</v>
      </c>
    </row>
    <row r="234" spans="1:13" x14ac:dyDescent="0.3">
      <c r="A234" t="s">
        <v>241</v>
      </c>
      <c r="B234" s="1">
        <v>1.16086840053403</v>
      </c>
      <c r="C234" s="1">
        <v>0.96407614534082597</v>
      </c>
      <c r="D234" s="1">
        <v>0.94592937659280196</v>
      </c>
      <c r="E234" s="1">
        <v>0.97326357719928103</v>
      </c>
      <c r="F234" s="1">
        <v>0.97326357719928103</v>
      </c>
      <c r="G234" s="1">
        <v>0.97326357719928103</v>
      </c>
      <c r="H234">
        <v>1279</v>
      </c>
      <c r="I234">
        <v>1114</v>
      </c>
      <c r="J234" s="16">
        <f t="shared" si="13"/>
        <v>-0.19275849598174763</v>
      </c>
      <c r="K234" s="16">
        <f t="shared" si="14"/>
        <v>9.4398188462917025E-3</v>
      </c>
      <c r="L234" s="16">
        <f t="shared" si="15"/>
        <v>2.8085095596752447E-2</v>
      </c>
      <c r="M234" s="16">
        <f t="shared" si="16"/>
        <v>9.4398188462917025E-3</v>
      </c>
    </row>
    <row r="235" spans="1:13" x14ac:dyDescent="0.3">
      <c r="A235" t="s">
        <v>242</v>
      </c>
      <c r="B235" s="1">
        <v>1.0045927495318601</v>
      </c>
      <c r="C235" s="1">
        <v>1.0001620159189399</v>
      </c>
      <c r="D235" s="1">
        <v>1.00458854386634</v>
      </c>
      <c r="E235" s="1">
        <v>1.00486327095343</v>
      </c>
      <c r="F235" s="1">
        <v>1.00486327095343</v>
      </c>
      <c r="G235" s="1">
        <v>1.00486327095343</v>
      </c>
      <c r="H235">
        <v>453</v>
      </c>
      <c r="I235">
        <v>451</v>
      </c>
      <c r="J235" s="16">
        <f t="shared" si="13"/>
        <v>2.6921216984400145E-4</v>
      </c>
      <c r="K235" s="16">
        <f t="shared" si="14"/>
        <v>4.6785022105837477E-3</v>
      </c>
      <c r="L235" s="16">
        <f t="shared" si="15"/>
        <v>2.7339748106158877E-4</v>
      </c>
      <c r="M235" s="16">
        <f t="shared" si="16"/>
        <v>2.7339748106158877E-4</v>
      </c>
    </row>
    <row r="236" spans="1:13" x14ac:dyDescent="0.3">
      <c r="A236" t="s">
        <v>243</v>
      </c>
      <c r="B236" s="1">
        <v>0.93437133741298195</v>
      </c>
      <c r="C236" s="1">
        <v>0.92971947264757804</v>
      </c>
      <c r="D236" s="1">
        <v>0.95002753471078205</v>
      </c>
      <c r="E236" s="1">
        <v>1.00726992111368</v>
      </c>
      <c r="F236" s="1">
        <v>1.00726992111368</v>
      </c>
      <c r="G236" s="1">
        <v>1.00726992111368</v>
      </c>
      <c r="H236">
        <v>1031</v>
      </c>
      <c r="I236">
        <v>862</v>
      </c>
      <c r="J236" s="16">
        <f t="shared" si="13"/>
        <v>7.2372441758310702E-2</v>
      </c>
      <c r="K236" s="16">
        <f t="shared" si="14"/>
        <v>7.6990731918569449E-2</v>
      </c>
      <c r="L236" s="16">
        <f t="shared" si="15"/>
        <v>5.6829242294466939E-2</v>
      </c>
      <c r="M236" s="16">
        <f t="shared" si="16"/>
        <v>7.2372441758310702E-2</v>
      </c>
    </row>
    <row r="237" spans="1:13" x14ac:dyDescent="0.3">
      <c r="A237" t="s">
        <v>244</v>
      </c>
      <c r="B237" s="1">
        <v>1.4612970156179499</v>
      </c>
      <c r="C237" s="1">
        <v>1.69627711065459</v>
      </c>
      <c r="D237" s="1">
        <v>4.4683142360914703</v>
      </c>
      <c r="E237" s="1">
        <v>1.0112934656441701</v>
      </c>
      <c r="F237" s="1">
        <v>1.0112934656441701</v>
      </c>
      <c r="G237" s="1">
        <v>1.0112934656441701</v>
      </c>
      <c r="H237">
        <v>1466</v>
      </c>
      <c r="I237">
        <v>1141</v>
      </c>
      <c r="J237" s="16">
        <f t="shared" si="13"/>
        <v>-0.44497820391545606</v>
      </c>
      <c r="K237" s="16">
        <f t="shared" si="14"/>
        <v>-0.67733419455459587</v>
      </c>
      <c r="L237" s="16">
        <f t="shared" si="15"/>
        <v>-3.4184150178852972</v>
      </c>
      <c r="M237" s="16">
        <f t="shared" si="16"/>
        <v>0.67733419455459587</v>
      </c>
    </row>
    <row r="238" spans="1:13" x14ac:dyDescent="0.3">
      <c r="A238" t="s">
        <v>245</v>
      </c>
      <c r="B238" s="1">
        <v>1.61208047881782</v>
      </c>
      <c r="C238" s="1">
        <v>1.53311701266394</v>
      </c>
      <c r="D238" s="1">
        <v>1.3071428825547999</v>
      </c>
      <c r="E238" s="1">
        <v>1.0057519856536501</v>
      </c>
      <c r="F238" s="1">
        <v>1.0057519856536501</v>
      </c>
      <c r="G238" s="1">
        <v>1.0057519856536501</v>
      </c>
      <c r="H238">
        <v>1412</v>
      </c>
      <c r="I238">
        <v>1178</v>
      </c>
      <c r="J238" s="16">
        <f t="shared" si="13"/>
        <v>-0.60286084622553326</v>
      </c>
      <c r="K238" s="16">
        <f t="shared" si="14"/>
        <v>-0.52434897920440005</v>
      </c>
      <c r="L238" s="16">
        <f t="shared" si="15"/>
        <v>-0.29966721537742957</v>
      </c>
      <c r="M238" s="16">
        <f t="shared" si="16"/>
        <v>0.52434897920440005</v>
      </c>
    </row>
    <row r="239" spans="1:13" x14ac:dyDescent="0.3">
      <c r="A239" t="s">
        <v>246</v>
      </c>
      <c r="B239" s="1">
        <v>1.0069068754274699</v>
      </c>
      <c r="C239" s="1">
        <v>0.99339818138196101</v>
      </c>
      <c r="D239" s="1">
        <v>0.99230540997046102</v>
      </c>
      <c r="E239" s="1">
        <v>1.0507972218916</v>
      </c>
      <c r="F239" s="1">
        <v>1.0507972218916</v>
      </c>
      <c r="G239" s="1">
        <v>1.0507972218916</v>
      </c>
      <c r="H239">
        <v>968</v>
      </c>
      <c r="I239">
        <v>941</v>
      </c>
      <c r="J239" s="16">
        <f t="shared" si="13"/>
        <v>4.1768616769961117E-2</v>
      </c>
      <c r="K239" s="16">
        <f t="shared" si="14"/>
        <v>5.4624278893992191E-2</v>
      </c>
      <c r="L239" s="16">
        <f t="shared" si="15"/>
        <v>5.5664223983999978E-2</v>
      </c>
      <c r="M239" s="16">
        <f t="shared" si="16"/>
        <v>5.4624278893992191E-2</v>
      </c>
    </row>
    <row r="240" spans="1:13" x14ac:dyDescent="0.3">
      <c r="A240" t="s">
        <v>247</v>
      </c>
      <c r="B240" s="1">
        <v>0.89688071078236398</v>
      </c>
      <c r="C240" s="1">
        <v>0.85417721320203499</v>
      </c>
      <c r="D240" s="1">
        <v>0.88218958339396603</v>
      </c>
      <c r="E240" s="1">
        <v>1.0058124869715199</v>
      </c>
      <c r="F240" s="1">
        <v>1.0058124869715199</v>
      </c>
      <c r="G240" s="1">
        <v>1.0058124869715199</v>
      </c>
      <c r="H240">
        <v>2009</v>
      </c>
      <c r="I240">
        <v>1159</v>
      </c>
      <c r="J240" s="16">
        <f t="shared" si="13"/>
        <v>0.10830227065200515</v>
      </c>
      <c r="K240" s="16">
        <f t="shared" si="14"/>
        <v>0.15075898910944677</v>
      </c>
      <c r="L240" s="16">
        <f t="shared" si="15"/>
        <v>0.1229084995253736</v>
      </c>
      <c r="M240" s="16">
        <f t="shared" si="16"/>
        <v>0.1229084995253736</v>
      </c>
    </row>
    <row r="241" spans="1:13" x14ac:dyDescent="0.3">
      <c r="A241" t="s">
        <v>248</v>
      </c>
      <c r="B241" s="1">
        <v>0.99785751277187196</v>
      </c>
      <c r="C241" s="1">
        <v>0.99585421252510598</v>
      </c>
      <c r="D241" s="1">
        <v>0.99785750387803795</v>
      </c>
      <c r="E241" s="1">
        <v>1.00555057025948</v>
      </c>
      <c r="F241" s="1">
        <v>1.00555057025948</v>
      </c>
      <c r="G241" s="1">
        <v>1.00555057025948</v>
      </c>
      <c r="H241">
        <v>502</v>
      </c>
      <c r="I241">
        <v>501</v>
      </c>
      <c r="J241" s="16">
        <f t="shared" si="13"/>
        <v>7.6505923373131716E-3</v>
      </c>
      <c r="K241" s="16">
        <f t="shared" si="14"/>
        <v>9.6428345039592869E-3</v>
      </c>
      <c r="L241" s="16">
        <f t="shared" si="15"/>
        <v>7.6506011820538199E-3</v>
      </c>
      <c r="M241" s="16">
        <f t="shared" si="16"/>
        <v>7.6506011820538199E-3</v>
      </c>
    </row>
    <row r="242" spans="1:13" x14ac:dyDescent="0.3">
      <c r="A242" t="s">
        <v>249</v>
      </c>
      <c r="B242" s="1">
        <v>0.99688215872957597</v>
      </c>
      <c r="C242" s="1">
        <v>0.97439534931236205</v>
      </c>
      <c r="D242" s="1">
        <v>0.99733790203996397</v>
      </c>
      <c r="E242" s="1">
        <v>0.97093562874251504</v>
      </c>
      <c r="F242" s="1">
        <v>0.97093562874251504</v>
      </c>
      <c r="G242" s="1">
        <v>0.97093562874251504</v>
      </c>
      <c r="H242">
        <v>870</v>
      </c>
      <c r="I242">
        <v>835</v>
      </c>
      <c r="J242" s="16">
        <f t="shared" si="13"/>
        <v>-2.6723223681331974E-2</v>
      </c>
      <c r="K242" s="16">
        <f t="shared" si="14"/>
        <v>-3.5632852142090821E-3</v>
      </c>
      <c r="L242" s="16">
        <f t="shared" si="15"/>
        <v>-2.7192609392286106E-2</v>
      </c>
      <c r="M242" s="16">
        <f t="shared" si="16"/>
        <v>2.6723223681331974E-2</v>
      </c>
    </row>
    <row r="243" spans="1:13" x14ac:dyDescent="0.3">
      <c r="A243" t="s">
        <v>250</v>
      </c>
      <c r="B243" s="1">
        <v>0.99433784065036601</v>
      </c>
      <c r="C243" s="1">
        <v>0.99433855295385598</v>
      </c>
      <c r="D243" s="1">
        <v>0.99695942764129197</v>
      </c>
      <c r="E243" s="1">
        <v>1.0150482584210501</v>
      </c>
      <c r="F243" s="1">
        <v>1.0150482584210501</v>
      </c>
      <c r="G243" s="1">
        <v>1.0150482584210501</v>
      </c>
      <c r="H243">
        <v>382</v>
      </c>
      <c r="I243">
        <v>380</v>
      </c>
      <c r="J243" s="16">
        <f t="shared" si="13"/>
        <v>2.0403382399670308E-2</v>
      </c>
      <c r="K243" s="16">
        <f t="shared" si="14"/>
        <v>2.0402680656197464E-2</v>
      </c>
      <c r="L243" s="16">
        <f t="shared" si="15"/>
        <v>1.7820660869756106E-2</v>
      </c>
      <c r="M243" s="16">
        <f t="shared" si="16"/>
        <v>2.0402680656197464E-2</v>
      </c>
    </row>
    <row r="244" spans="1:13" x14ac:dyDescent="0.3">
      <c r="A244" t="s">
        <v>251</v>
      </c>
      <c r="B244" s="1">
        <v>0.99646078484529199</v>
      </c>
      <c r="C244" s="1">
        <v>0.99646082607883402</v>
      </c>
      <c r="D244" s="1">
        <v>0.99647024208788304</v>
      </c>
      <c r="E244" s="1">
        <v>1.0031084682539599</v>
      </c>
      <c r="F244" s="1">
        <v>1.0031084682539599</v>
      </c>
      <c r="G244" s="1">
        <v>1.0031084682539599</v>
      </c>
      <c r="H244">
        <v>189</v>
      </c>
      <c r="I244">
        <v>189</v>
      </c>
      <c r="J244" s="16">
        <f t="shared" si="13"/>
        <v>6.6270833305186834E-3</v>
      </c>
      <c r="K244" s="16">
        <f t="shared" si="14"/>
        <v>6.6270422247526276E-3</v>
      </c>
      <c r="L244" s="16">
        <f t="shared" si="15"/>
        <v>6.6176553943678605E-3</v>
      </c>
      <c r="M244" s="16">
        <f t="shared" si="16"/>
        <v>6.6270422247526276E-3</v>
      </c>
    </row>
    <row r="245" spans="1:13" x14ac:dyDescent="0.3">
      <c r="A245" t="s">
        <v>252</v>
      </c>
      <c r="B245" s="1">
        <v>1.4332746708764701</v>
      </c>
      <c r="C245" s="1">
        <v>1.2986159519199001</v>
      </c>
      <c r="D245" s="1">
        <v>1.6218249180573201</v>
      </c>
      <c r="E245" s="1">
        <v>1.0155644170757101</v>
      </c>
      <c r="F245" s="1">
        <v>1.0155644170757101</v>
      </c>
      <c r="G245" s="1">
        <v>1.0155644170757101</v>
      </c>
      <c r="H245">
        <v>2189</v>
      </c>
      <c r="I245">
        <v>1915</v>
      </c>
      <c r="J245" s="16">
        <f t="shared" si="13"/>
        <v>-0.4113084771161491</v>
      </c>
      <c r="K245" s="16">
        <f t="shared" si="14"/>
        <v>-0.27871352135320882</v>
      </c>
      <c r="L245" s="16">
        <f t="shared" si="15"/>
        <v>-0.5969690260784446</v>
      </c>
      <c r="M245" s="16">
        <f t="shared" si="16"/>
        <v>0.4113084771161491</v>
      </c>
    </row>
    <row r="246" spans="1:13" x14ac:dyDescent="0.3">
      <c r="A246" t="s">
        <v>253</v>
      </c>
      <c r="B246" s="1">
        <v>0.974547140458633</v>
      </c>
      <c r="C246" s="1">
        <v>0.97487368733105195</v>
      </c>
      <c r="D246" s="1">
        <v>0.97242141530470205</v>
      </c>
      <c r="E246" s="1">
        <v>0.96009172354948802</v>
      </c>
      <c r="F246" s="1">
        <v>0.96009172354948802</v>
      </c>
      <c r="G246" s="1">
        <v>0.96009172354948802</v>
      </c>
      <c r="H246">
        <v>1200</v>
      </c>
      <c r="I246">
        <v>1172</v>
      </c>
      <c r="J246" s="16">
        <f t="shared" si="13"/>
        <v>-1.5056287388566238E-2</v>
      </c>
      <c r="K246" s="16">
        <f t="shared" si="14"/>
        <v>-1.5396407883732784E-2</v>
      </c>
      <c r="L246" s="16">
        <f t="shared" si="15"/>
        <v>-1.2842201898825659E-2</v>
      </c>
      <c r="M246" s="16">
        <f t="shared" si="16"/>
        <v>1.5056287388566238E-2</v>
      </c>
    </row>
    <row r="247" spans="1:13" x14ac:dyDescent="0.3">
      <c r="A247" t="s">
        <v>254</v>
      </c>
      <c r="B247" s="1">
        <v>1.0057913225941399</v>
      </c>
      <c r="C247" s="1">
        <v>0.99723176051221896</v>
      </c>
      <c r="D247" s="1">
        <v>1.00567001640849</v>
      </c>
      <c r="E247" s="1">
        <v>1.00608522175141</v>
      </c>
      <c r="F247" s="1">
        <v>1.00608522175141</v>
      </c>
      <c r="G247" s="1">
        <v>1.00608522175141</v>
      </c>
      <c r="H247">
        <v>357</v>
      </c>
      <c r="I247">
        <v>354</v>
      </c>
      <c r="J247" s="16">
        <f t="shared" si="13"/>
        <v>2.9212153296362669E-4</v>
      </c>
      <c r="K247" s="16">
        <f t="shared" si="14"/>
        <v>8.7999118243470564E-3</v>
      </c>
      <c r="L247" s="16">
        <f t="shared" si="15"/>
        <v>4.12694008363684E-4</v>
      </c>
      <c r="M247" s="16">
        <f t="shared" si="16"/>
        <v>4.12694008363684E-4</v>
      </c>
    </row>
    <row r="248" spans="1:13" x14ac:dyDescent="0.3">
      <c r="A248" t="s">
        <v>255</v>
      </c>
      <c r="B248" s="1">
        <v>1.0018533144909001</v>
      </c>
      <c r="C248" s="1">
        <v>0.99407464010657098</v>
      </c>
      <c r="D248" s="1">
        <v>0.99407988598666497</v>
      </c>
      <c r="E248" s="1">
        <v>1.006119796875</v>
      </c>
      <c r="F248" s="1">
        <v>1.006119796875</v>
      </c>
      <c r="G248" s="1">
        <v>1.006119796875</v>
      </c>
      <c r="H248">
        <v>390</v>
      </c>
      <c r="I248">
        <v>384</v>
      </c>
      <c r="J248" s="16">
        <f t="shared" si="13"/>
        <v>4.2405311945471497E-3</v>
      </c>
      <c r="K248" s="16">
        <f t="shared" si="14"/>
        <v>1.1971891225916784E-2</v>
      </c>
      <c r="L248" s="16">
        <f t="shared" si="15"/>
        <v>1.1966677254270188E-2</v>
      </c>
      <c r="M248" s="16">
        <f t="shared" si="16"/>
        <v>1.1966677254270188E-2</v>
      </c>
    </row>
    <row r="249" spans="1:13" x14ac:dyDescent="0.3">
      <c r="A249" t="s">
        <v>256</v>
      </c>
      <c r="B249" s="1">
        <v>1.02322166984729</v>
      </c>
      <c r="C249" s="1">
        <v>1.0270841798082999</v>
      </c>
      <c r="D249" s="1">
        <v>1.0861251550216999</v>
      </c>
      <c r="E249" s="1">
        <v>1.02818319821002</v>
      </c>
      <c r="F249" s="1">
        <v>1.02818319821002</v>
      </c>
      <c r="G249" s="1">
        <v>1.02818319821002</v>
      </c>
      <c r="H249">
        <v>904</v>
      </c>
      <c r="I249">
        <v>838</v>
      </c>
      <c r="J249" s="16">
        <f t="shared" si="13"/>
        <v>4.8255295081339657E-3</v>
      </c>
      <c r="K249" s="16">
        <f t="shared" si="14"/>
        <v>1.0688935625804885E-3</v>
      </c>
      <c r="L249" s="16">
        <f t="shared" si="15"/>
        <v>-5.6353728511175781E-2</v>
      </c>
      <c r="M249" s="16">
        <f t="shared" si="16"/>
        <v>1.0688935625804885E-3</v>
      </c>
    </row>
    <row r="250" spans="1:13" x14ac:dyDescent="0.3">
      <c r="A250" t="s">
        <v>257</v>
      </c>
      <c r="B250" s="1">
        <v>1.00280589242597</v>
      </c>
      <c r="C250" s="1">
        <v>1.00265256186528</v>
      </c>
      <c r="D250" s="1">
        <v>1.00263476591905</v>
      </c>
      <c r="E250" s="1">
        <v>0.97935036945812803</v>
      </c>
      <c r="F250" s="1">
        <v>0.97935036945812803</v>
      </c>
      <c r="G250" s="1">
        <v>0.97935036945812803</v>
      </c>
      <c r="H250">
        <v>203</v>
      </c>
      <c r="I250">
        <v>203</v>
      </c>
      <c r="J250" s="16">
        <f t="shared" si="13"/>
        <v>-2.3950083340265448E-2</v>
      </c>
      <c r="K250" s="16">
        <f t="shared" si="14"/>
        <v>-2.379351980031923E-2</v>
      </c>
      <c r="L250" s="16">
        <f t="shared" si="15"/>
        <v>-2.3775348626054175E-2</v>
      </c>
      <c r="M250" s="16">
        <f t="shared" si="16"/>
        <v>2.379351980031923E-2</v>
      </c>
    </row>
    <row r="251" spans="1:13" x14ac:dyDescent="0.3">
      <c r="A251" t="s">
        <v>258</v>
      </c>
      <c r="B251" s="1">
        <v>0.95431506606939198</v>
      </c>
      <c r="C251" s="1">
        <v>0.96016747004424796</v>
      </c>
      <c r="D251" s="1">
        <v>0.96166216731755605</v>
      </c>
      <c r="E251" s="1">
        <v>1.00925758363636</v>
      </c>
      <c r="F251" s="1">
        <v>1.00925758363636</v>
      </c>
      <c r="G251" s="1">
        <v>1.00925758363636</v>
      </c>
      <c r="H251">
        <v>684</v>
      </c>
      <c r="I251">
        <v>660</v>
      </c>
      <c r="J251" s="16">
        <f t="shared" si="13"/>
        <v>5.443854815438675E-2</v>
      </c>
      <c r="K251" s="16">
        <f t="shared" si="14"/>
        <v>4.863982633178747E-2</v>
      </c>
      <c r="L251" s="16">
        <f t="shared" si="15"/>
        <v>4.7158839418691721E-2</v>
      </c>
      <c r="M251" s="16">
        <f t="shared" si="16"/>
        <v>4.863982633178747E-2</v>
      </c>
    </row>
    <row r="252" spans="1:13" x14ac:dyDescent="0.3">
      <c r="A252" t="s">
        <v>259</v>
      </c>
      <c r="B252" s="1">
        <v>1.0108014413549</v>
      </c>
      <c r="C252" s="1">
        <v>0.98183057967614096</v>
      </c>
      <c r="D252" s="1">
        <v>0.97204675956114495</v>
      </c>
      <c r="E252" s="1">
        <v>0.97048964968152795</v>
      </c>
      <c r="F252" s="1">
        <v>0.97048964968152795</v>
      </c>
      <c r="G252" s="1">
        <v>0.97048964968152795</v>
      </c>
      <c r="H252">
        <v>518</v>
      </c>
      <c r="I252">
        <v>471</v>
      </c>
      <c r="J252" s="16">
        <f t="shared" si="13"/>
        <v>-4.1537580216956076E-2</v>
      </c>
      <c r="K252" s="16">
        <f t="shared" si="14"/>
        <v>-1.1685781500435989E-2</v>
      </c>
      <c r="L252" s="16">
        <f t="shared" si="15"/>
        <v>-1.6044579971852006E-3</v>
      </c>
      <c r="M252" s="16">
        <f t="shared" si="16"/>
        <v>1.1685781500435989E-2</v>
      </c>
    </row>
    <row r="253" spans="1:13" x14ac:dyDescent="0.3">
      <c r="A253" t="s">
        <v>260</v>
      </c>
      <c r="B253" s="1">
        <v>1.1801769571945</v>
      </c>
      <c r="C253" s="1">
        <v>1.0803342660781401</v>
      </c>
      <c r="D253" s="1">
        <v>0.96960176539422605</v>
      </c>
      <c r="E253" s="1">
        <v>0.96868162296564198</v>
      </c>
      <c r="F253" s="1">
        <v>0.96868162296564198</v>
      </c>
      <c r="G253" s="1">
        <v>0.96868162296564198</v>
      </c>
      <c r="H253">
        <v>1205</v>
      </c>
      <c r="I253">
        <v>1106</v>
      </c>
      <c r="J253" s="16">
        <f t="shared" si="13"/>
        <v>-0.21833317492011461</v>
      </c>
      <c r="K253" s="16">
        <f t="shared" si="14"/>
        <v>-0.1152624768194434</v>
      </c>
      <c r="L253" s="16">
        <f t="shared" si="15"/>
        <v>-9.4989148835819938E-4</v>
      </c>
      <c r="M253" s="16">
        <f t="shared" si="16"/>
        <v>0.1152624768194434</v>
      </c>
    </row>
    <row r="254" spans="1:13" x14ac:dyDescent="0.3">
      <c r="A254" t="s">
        <v>261</v>
      </c>
      <c r="B254" s="1">
        <v>0.986447176568233</v>
      </c>
      <c r="C254" s="1">
        <v>0.95422717786413802</v>
      </c>
      <c r="D254" s="1">
        <v>0.94999671025746901</v>
      </c>
      <c r="E254" s="1">
        <v>1.0060075239097701</v>
      </c>
      <c r="F254" s="1">
        <v>1.0060075239097701</v>
      </c>
      <c r="G254" s="1">
        <v>1.0060075239097701</v>
      </c>
      <c r="H254">
        <v>714</v>
      </c>
      <c r="I254">
        <v>665</v>
      </c>
      <c r="J254" s="16">
        <f t="shared" si="13"/>
        <v>1.9443539811230575E-2</v>
      </c>
      <c r="K254" s="16">
        <f t="shared" si="14"/>
        <v>5.1471131989541979E-2</v>
      </c>
      <c r="L254" s="16">
        <f t="shared" si="15"/>
        <v>5.5676336728198036E-2</v>
      </c>
      <c r="M254" s="16">
        <f t="shared" si="16"/>
        <v>5.1471131989541979E-2</v>
      </c>
    </row>
    <row r="255" spans="1:13" x14ac:dyDescent="0.3">
      <c r="A255" t="s">
        <v>262</v>
      </c>
      <c r="B255" s="1">
        <v>1.00894817928789</v>
      </c>
      <c r="C255" s="1">
        <v>1.0089481795256301</v>
      </c>
      <c r="D255" s="1">
        <v>1.00894817957299</v>
      </c>
      <c r="E255" s="1">
        <v>1.0042805136612001</v>
      </c>
      <c r="F255" s="1">
        <v>1.0042805136612001</v>
      </c>
      <c r="G255" s="1">
        <v>1.0042805136612001</v>
      </c>
      <c r="H255">
        <v>183</v>
      </c>
      <c r="I255">
        <v>183</v>
      </c>
      <c r="J255" s="16">
        <f t="shared" si="13"/>
        <v>-4.6477707803704625E-3</v>
      </c>
      <c r="K255" s="16">
        <f t="shared" si="14"/>
        <v>-4.6477710170972006E-3</v>
      </c>
      <c r="L255" s="16">
        <f t="shared" si="15"/>
        <v>-4.6477710642552341E-3</v>
      </c>
      <c r="M255" s="16">
        <f t="shared" si="16"/>
        <v>4.6477710170972006E-3</v>
      </c>
    </row>
    <row r="256" spans="1:13" x14ac:dyDescent="0.3">
      <c r="A256" t="s">
        <v>263</v>
      </c>
      <c r="B256" s="1">
        <v>0.97328608605408296</v>
      </c>
      <c r="C256" s="1">
        <v>0.97578395181886102</v>
      </c>
      <c r="D256" s="1">
        <v>0.95832151987206804</v>
      </c>
      <c r="E256" s="1">
        <v>0.96198107049608295</v>
      </c>
      <c r="F256" s="1">
        <v>0.96198107049608295</v>
      </c>
      <c r="G256" s="1">
        <v>0.96198107049608295</v>
      </c>
      <c r="H256">
        <v>400</v>
      </c>
      <c r="I256">
        <v>383</v>
      </c>
      <c r="J256" s="16">
        <f t="shared" si="13"/>
        <v>-1.1751806667224895E-2</v>
      </c>
      <c r="K256" s="16">
        <f t="shared" si="14"/>
        <v>-1.4348391819872379E-2</v>
      </c>
      <c r="L256" s="16">
        <f t="shared" si="15"/>
        <v>3.8041815335594048E-3</v>
      </c>
      <c r="M256" s="16">
        <f t="shared" si="16"/>
        <v>1.1751806667224895E-2</v>
      </c>
    </row>
    <row r="257" spans="1:13" x14ac:dyDescent="0.3">
      <c r="A257" t="s">
        <v>264</v>
      </c>
      <c r="B257" s="1">
        <v>0.99703818929219501</v>
      </c>
      <c r="C257" s="1">
        <v>0.93356477119594805</v>
      </c>
      <c r="D257" s="1">
        <v>0.93286572506988097</v>
      </c>
      <c r="E257" s="1">
        <v>1.00969594652241</v>
      </c>
      <c r="F257" s="1">
        <v>1.00969594652241</v>
      </c>
      <c r="G257" s="1">
        <v>1.00969594652241</v>
      </c>
      <c r="H257">
        <v>746</v>
      </c>
      <c r="I257">
        <v>647</v>
      </c>
      <c r="J257" s="16">
        <f t="shared" si="13"/>
        <v>1.2536206839109132E-2</v>
      </c>
      <c r="K257" s="16">
        <f t="shared" si="14"/>
        <v>7.5400099989182484E-2</v>
      </c>
      <c r="L257" s="16">
        <f t="shared" si="15"/>
        <v>7.6092433288602698E-2</v>
      </c>
      <c r="M257" s="16">
        <f t="shared" si="16"/>
        <v>7.5400099989182484E-2</v>
      </c>
    </row>
    <row r="258" spans="1:13" x14ac:dyDescent="0.3">
      <c r="A258" t="s">
        <v>265</v>
      </c>
      <c r="B258" s="1">
        <v>1.00120091295319</v>
      </c>
      <c r="C258" s="1">
        <v>1.07374427452653</v>
      </c>
      <c r="D258" s="1">
        <v>1.0012288256158099</v>
      </c>
      <c r="E258" s="1">
        <v>1.00229392819956</v>
      </c>
      <c r="F258" s="1">
        <v>1.00229392819956</v>
      </c>
      <c r="G258" s="1">
        <v>1.00229392819956</v>
      </c>
      <c r="H258">
        <v>476</v>
      </c>
      <c r="I258">
        <v>461</v>
      </c>
      <c r="J258" s="16">
        <f t="shared" si="13"/>
        <v>1.0905136862730072E-3</v>
      </c>
      <c r="K258" s="16">
        <f t="shared" si="14"/>
        <v>-7.1286819481504435E-2</v>
      </c>
      <c r="L258" s="16">
        <f t="shared" si="15"/>
        <v>1.0626649067537474E-3</v>
      </c>
      <c r="M258" s="16">
        <f t="shared" si="16"/>
        <v>1.0626649067537474E-3</v>
      </c>
    </row>
    <row r="259" spans="1:13" x14ac:dyDescent="0.3">
      <c r="A259" t="s">
        <v>266</v>
      </c>
      <c r="B259" s="1">
        <v>0.99587466689277204</v>
      </c>
      <c r="C259" s="1">
        <v>0.99643030346907402</v>
      </c>
      <c r="D259" s="1">
        <v>0.99587281638021696</v>
      </c>
      <c r="E259" s="1">
        <v>1.00270250229999</v>
      </c>
      <c r="F259" s="1">
        <v>1.00270250229999</v>
      </c>
      <c r="G259" s="1">
        <v>1.00270250229999</v>
      </c>
      <c r="H259">
        <v>1011</v>
      </c>
      <c r="I259">
        <v>1000</v>
      </c>
      <c r="J259" s="16">
        <f t="shared" ref="J259:J322" si="17">(E259-B259)/E259</f>
        <v>6.8094328991464151E-3</v>
      </c>
      <c r="K259" s="16">
        <f t="shared" ref="K259:K322" si="18">(F259-C259)/F259</f>
        <v>6.2552938848052094E-3</v>
      </c>
      <c r="L259" s="16">
        <f t="shared" ref="L259:L322" si="19">(G259-D259)/G259</f>
        <v>6.8112784241658843E-3</v>
      </c>
      <c r="M259" s="16">
        <f t="shared" ref="M259:M322" si="20">ABS(MEDIAN(J259:L259))</f>
        <v>6.8094328991464151E-3</v>
      </c>
    </row>
    <row r="260" spans="1:13" x14ac:dyDescent="0.3">
      <c r="A260" t="s">
        <v>267</v>
      </c>
      <c r="B260" s="1">
        <v>1.0031555889175201</v>
      </c>
      <c r="C260" s="1">
        <v>1.0042700297151299</v>
      </c>
      <c r="D260" s="1">
        <v>1.00540872282881</v>
      </c>
      <c r="E260" s="1">
        <v>1.00658632847533</v>
      </c>
      <c r="F260" s="1">
        <v>1.00658632847533</v>
      </c>
      <c r="G260" s="1">
        <v>1.00658632847533</v>
      </c>
      <c r="H260">
        <v>895</v>
      </c>
      <c r="I260">
        <v>892</v>
      </c>
      <c r="J260" s="16">
        <f t="shared" si="17"/>
        <v>3.4082914309063236E-3</v>
      </c>
      <c r="K260" s="16">
        <f t="shared" si="18"/>
        <v>2.30114267864993E-3</v>
      </c>
      <c r="L260" s="16">
        <f t="shared" si="19"/>
        <v>1.1699002988682968E-3</v>
      </c>
      <c r="M260" s="16">
        <f t="shared" si="20"/>
        <v>2.30114267864993E-3</v>
      </c>
    </row>
    <row r="261" spans="1:13" x14ac:dyDescent="0.3">
      <c r="A261" t="s">
        <v>268</v>
      </c>
      <c r="B261" s="1">
        <v>0.98848349774794397</v>
      </c>
      <c r="C261" s="1">
        <v>0.99697129144209895</v>
      </c>
      <c r="D261" s="1">
        <v>0.98697375907392004</v>
      </c>
      <c r="E261" s="1">
        <v>1.0366270724783799</v>
      </c>
      <c r="F261" s="1">
        <v>1.0366270724783799</v>
      </c>
      <c r="G261" s="1">
        <v>1.0366270724783799</v>
      </c>
      <c r="H261">
        <v>707</v>
      </c>
      <c r="I261">
        <v>694</v>
      </c>
      <c r="J261" s="16">
        <f t="shared" si="17"/>
        <v>4.6442521142471944E-2</v>
      </c>
      <c r="K261" s="16">
        <f t="shared" si="18"/>
        <v>3.825462607441988E-2</v>
      </c>
      <c r="L261" s="16">
        <f t="shared" si="19"/>
        <v>4.7898916324602803E-2</v>
      </c>
      <c r="M261" s="16">
        <f t="shared" si="20"/>
        <v>4.6442521142471944E-2</v>
      </c>
    </row>
    <row r="262" spans="1:13" x14ac:dyDescent="0.3">
      <c r="A262" t="s">
        <v>269</v>
      </c>
      <c r="B262" s="1">
        <v>0.97993494257318203</v>
      </c>
      <c r="C262" s="1">
        <v>0.96254294559382902</v>
      </c>
      <c r="D262" s="1">
        <v>0.94906389345265096</v>
      </c>
      <c r="E262" s="1">
        <v>1.00635823051948</v>
      </c>
      <c r="F262" s="1">
        <v>1.00635823051948</v>
      </c>
      <c r="G262" s="1">
        <v>1.00635823051948</v>
      </c>
      <c r="H262">
        <v>1295</v>
      </c>
      <c r="I262">
        <v>1232</v>
      </c>
      <c r="J262" s="16">
        <f t="shared" si="17"/>
        <v>2.6256344058177332E-2</v>
      </c>
      <c r="K262" s="16">
        <f t="shared" si="18"/>
        <v>4.3538457377184314E-2</v>
      </c>
      <c r="L262" s="16">
        <f t="shared" si="19"/>
        <v>5.6932348073760825E-2</v>
      </c>
      <c r="M262" s="16">
        <f t="shared" si="20"/>
        <v>4.3538457377184314E-2</v>
      </c>
    </row>
    <row r="263" spans="1:13" x14ac:dyDescent="0.3">
      <c r="A263" t="s">
        <v>270</v>
      </c>
      <c r="B263" s="1">
        <v>1.00977907040397</v>
      </c>
      <c r="C263" s="1">
        <v>1.0097790703081999</v>
      </c>
      <c r="D263" s="1">
        <v>1.0097790641964699</v>
      </c>
      <c r="E263" s="1">
        <v>1.00498616660516</v>
      </c>
      <c r="F263" s="1">
        <v>1.00498616660516</v>
      </c>
      <c r="G263" s="1">
        <v>1.00498616660516</v>
      </c>
      <c r="H263">
        <v>542</v>
      </c>
      <c r="I263">
        <v>542</v>
      </c>
      <c r="J263" s="16">
        <f t="shared" si="17"/>
        <v>-4.7691241512311912E-3</v>
      </c>
      <c r="K263" s="16">
        <f t="shared" si="18"/>
        <v>-4.769124055936289E-3</v>
      </c>
      <c r="L263" s="16">
        <f t="shared" si="19"/>
        <v>-4.7691179745291863E-3</v>
      </c>
      <c r="M263" s="16">
        <f t="shared" si="20"/>
        <v>4.769124055936289E-3</v>
      </c>
    </row>
    <row r="264" spans="1:13" x14ac:dyDescent="0.3">
      <c r="A264" t="s">
        <v>271</v>
      </c>
      <c r="B264" s="1">
        <v>1.0146897533136101</v>
      </c>
      <c r="C264" s="1">
        <v>1.01468306021091</v>
      </c>
      <c r="D264" s="1">
        <v>1.01680660650233</v>
      </c>
      <c r="E264" s="1">
        <v>1.03001948768577</v>
      </c>
      <c r="F264" s="1">
        <v>1.03001948768577</v>
      </c>
      <c r="G264" s="1">
        <v>1.03001948768577</v>
      </c>
      <c r="H264">
        <v>473</v>
      </c>
      <c r="I264">
        <v>471</v>
      </c>
      <c r="J264" s="16">
        <f t="shared" si="17"/>
        <v>1.4882955667763606E-2</v>
      </c>
      <c r="K264" s="16">
        <f t="shared" si="18"/>
        <v>1.4889453702781479E-2</v>
      </c>
      <c r="L264" s="16">
        <f t="shared" si="19"/>
        <v>1.2827797280929575E-2</v>
      </c>
      <c r="M264" s="16">
        <f t="shared" si="20"/>
        <v>1.4882955667763606E-2</v>
      </c>
    </row>
    <row r="265" spans="1:13" x14ac:dyDescent="0.3">
      <c r="A265" t="s">
        <v>272</v>
      </c>
      <c r="B265" s="1">
        <v>1.00333873876317</v>
      </c>
      <c r="C265" s="1">
        <v>1.00332445637315</v>
      </c>
      <c r="D265" s="1">
        <v>1.0032971072325401</v>
      </c>
      <c r="E265" s="1">
        <v>1.0024844548507399</v>
      </c>
      <c r="F265" s="1">
        <v>1.0024844548507399</v>
      </c>
      <c r="G265" s="1">
        <v>1.0024844548507399</v>
      </c>
      <c r="H265">
        <v>268</v>
      </c>
      <c r="I265">
        <v>268</v>
      </c>
      <c r="J265" s="16">
        <f t="shared" si="17"/>
        <v>-8.5216674263276953E-4</v>
      </c>
      <c r="K265" s="16">
        <f t="shared" si="18"/>
        <v>-8.3791974862614481E-4</v>
      </c>
      <c r="L265" s="16">
        <f t="shared" si="19"/>
        <v>-8.106383873265824E-4</v>
      </c>
      <c r="M265" s="16">
        <f t="shared" si="20"/>
        <v>8.3791974862614481E-4</v>
      </c>
    </row>
    <row r="266" spans="1:13" x14ac:dyDescent="0.3">
      <c r="A266" t="s">
        <v>273</v>
      </c>
      <c r="B266" s="1">
        <v>0.99634749486741303</v>
      </c>
      <c r="C266" s="1">
        <v>0.98362858945133003</v>
      </c>
      <c r="D266" s="1">
        <v>0.97216279422454899</v>
      </c>
      <c r="E266" s="1">
        <v>1.0147686707093799</v>
      </c>
      <c r="F266" s="1">
        <v>1.0147686707093799</v>
      </c>
      <c r="G266" s="1">
        <v>1.0147686707093799</v>
      </c>
      <c r="H266">
        <v>454</v>
      </c>
      <c r="I266">
        <v>437</v>
      </c>
      <c r="J266" s="16">
        <f t="shared" si="17"/>
        <v>1.8153078995914868E-2</v>
      </c>
      <c r="K266" s="16">
        <f t="shared" si="18"/>
        <v>3.0686876878334494E-2</v>
      </c>
      <c r="L266" s="16">
        <f t="shared" si="19"/>
        <v>4.1985802000614636E-2</v>
      </c>
      <c r="M266" s="16">
        <f t="shared" si="20"/>
        <v>3.0686876878334494E-2</v>
      </c>
    </row>
    <row r="267" spans="1:13" x14ac:dyDescent="0.3">
      <c r="A267" t="s">
        <v>274</v>
      </c>
      <c r="B267" s="1">
        <v>1.001615216816</v>
      </c>
      <c r="C267" s="1">
        <v>1.00139468626233</v>
      </c>
      <c r="D267" s="1">
        <v>1.0013710758369401</v>
      </c>
      <c r="E267" s="1">
        <v>1.00321289335937</v>
      </c>
      <c r="F267" s="1">
        <v>1.00321289335937</v>
      </c>
      <c r="G267" s="1">
        <v>1.00321289335937</v>
      </c>
      <c r="H267">
        <v>512</v>
      </c>
      <c r="I267">
        <v>512</v>
      </c>
      <c r="J267" s="16">
        <f t="shared" si="17"/>
        <v>1.5925598185047899E-3</v>
      </c>
      <c r="K267" s="16">
        <f t="shared" si="18"/>
        <v>1.8123841001998987E-3</v>
      </c>
      <c r="L267" s="16">
        <f t="shared" si="19"/>
        <v>1.8359189107532551E-3</v>
      </c>
      <c r="M267" s="16">
        <f t="shared" si="20"/>
        <v>1.8123841001998987E-3</v>
      </c>
    </row>
    <row r="268" spans="1:13" x14ac:dyDescent="0.3">
      <c r="A268" t="s">
        <v>275</v>
      </c>
      <c r="B268" s="1">
        <v>0.94182154269413598</v>
      </c>
      <c r="C268" s="1">
        <v>0.94178680346902899</v>
      </c>
      <c r="D268" s="1">
        <v>0.952687665720376</v>
      </c>
      <c r="E268" s="1">
        <v>1.00806932983479</v>
      </c>
      <c r="F268" s="1">
        <v>1.00806932983479</v>
      </c>
      <c r="G268" s="1">
        <v>1.00806932983479</v>
      </c>
      <c r="H268">
        <v>1098</v>
      </c>
      <c r="I268">
        <v>1029</v>
      </c>
      <c r="J268" s="16">
        <f t="shared" si="17"/>
        <v>6.5717491029621183E-2</v>
      </c>
      <c r="K268" s="16">
        <f t="shared" si="18"/>
        <v>6.5751952176368589E-2</v>
      </c>
      <c r="L268" s="16">
        <f t="shared" si="19"/>
        <v>5.4938348460110767E-2</v>
      </c>
      <c r="M268" s="16">
        <f t="shared" si="20"/>
        <v>6.5717491029621183E-2</v>
      </c>
    </row>
    <row r="269" spans="1:13" x14ac:dyDescent="0.3">
      <c r="A269" t="s">
        <v>276</v>
      </c>
      <c r="B269" s="1">
        <v>1.00309687124161</v>
      </c>
      <c r="C269" s="1">
        <v>0.99942434354701903</v>
      </c>
      <c r="D269" s="1">
        <v>1.0030803430694399</v>
      </c>
      <c r="E269" s="1">
        <v>1.0315067918819101</v>
      </c>
      <c r="F269" s="1">
        <v>1.0315067918819101</v>
      </c>
      <c r="G269" s="1">
        <v>1.0315067918819101</v>
      </c>
      <c r="H269">
        <v>272</v>
      </c>
      <c r="I269">
        <v>271</v>
      </c>
      <c r="J269" s="16">
        <f t="shared" si="17"/>
        <v>2.7542155673515503E-2</v>
      </c>
      <c r="K269" s="16">
        <f t="shared" si="18"/>
        <v>3.1102508085631624E-2</v>
      </c>
      <c r="L269" s="16">
        <f t="shared" si="19"/>
        <v>2.7558179002009405E-2</v>
      </c>
      <c r="M269" s="16">
        <f t="shared" si="20"/>
        <v>2.7558179002009405E-2</v>
      </c>
    </row>
    <row r="270" spans="1:13" x14ac:dyDescent="0.3">
      <c r="A270" t="s">
        <v>277</v>
      </c>
      <c r="B270" s="1">
        <v>0.993111085380049</v>
      </c>
      <c r="C270" s="1">
        <v>0.97839323079053497</v>
      </c>
      <c r="D270" s="1">
        <v>0.97747543040373597</v>
      </c>
      <c r="E270" s="1">
        <v>0.97099937603993303</v>
      </c>
      <c r="F270" s="1">
        <v>0.97099937603993303</v>
      </c>
      <c r="G270" s="1">
        <v>0.97099937603993303</v>
      </c>
      <c r="H270">
        <v>636</v>
      </c>
      <c r="I270">
        <v>601</v>
      </c>
      <c r="J270" s="16">
        <f t="shared" si="17"/>
        <v>-2.2772114880542014E-2</v>
      </c>
      <c r="K270" s="16">
        <f t="shared" si="18"/>
        <v>-7.6146853778182753E-3</v>
      </c>
      <c r="L270" s="16">
        <f t="shared" si="19"/>
        <v>-6.6694732495241162E-3</v>
      </c>
      <c r="M270" s="16">
        <f t="shared" si="20"/>
        <v>7.6146853778182753E-3</v>
      </c>
    </row>
    <row r="271" spans="1:13" x14ac:dyDescent="0.3">
      <c r="A271" t="s">
        <v>278</v>
      </c>
      <c r="B271" s="1">
        <v>1.00700060426043</v>
      </c>
      <c r="C271" s="1">
        <v>0.99383179065074301</v>
      </c>
      <c r="D271" s="1">
        <v>1.0069600482511101</v>
      </c>
      <c r="E271" s="1">
        <v>1.00404918890977</v>
      </c>
      <c r="F271" s="1">
        <v>1.00404918890977</v>
      </c>
      <c r="G271" s="1">
        <v>1.00404918890977</v>
      </c>
      <c r="H271">
        <v>539</v>
      </c>
      <c r="I271">
        <v>532</v>
      </c>
      <c r="J271" s="16">
        <f t="shared" si="17"/>
        <v>-2.9395127084010284E-3</v>
      </c>
      <c r="K271" s="16">
        <f t="shared" si="18"/>
        <v>1.0176192931465242E-2</v>
      </c>
      <c r="L271" s="16">
        <f t="shared" si="19"/>
        <v>-2.8991202557523731E-3</v>
      </c>
      <c r="M271" s="16">
        <f t="shared" si="20"/>
        <v>2.8991202557523731E-3</v>
      </c>
    </row>
    <row r="272" spans="1:13" x14ac:dyDescent="0.3">
      <c r="A272" t="s">
        <v>279</v>
      </c>
      <c r="B272" s="1">
        <v>0.99567656000728999</v>
      </c>
      <c r="C272" s="1">
        <v>0.99568017232483297</v>
      </c>
      <c r="D272" s="1">
        <v>0.995626338859122</v>
      </c>
      <c r="E272" s="1">
        <v>1.00513465884146</v>
      </c>
      <c r="F272" s="1">
        <v>1.00513465884146</v>
      </c>
      <c r="G272" s="1">
        <v>1.00513465884146</v>
      </c>
      <c r="H272">
        <v>328</v>
      </c>
      <c r="I272">
        <v>328</v>
      </c>
      <c r="J272" s="16">
        <f t="shared" si="17"/>
        <v>9.4097828096701454E-3</v>
      </c>
      <c r="K272" s="16">
        <f t="shared" si="18"/>
        <v>9.4061889453941477E-3</v>
      </c>
      <c r="L272" s="16">
        <f t="shared" si="19"/>
        <v>9.4597474066783517E-3</v>
      </c>
      <c r="M272" s="16">
        <f t="shared" si="20"/>
        <v>9.4097828096701454E-3</v>
      </c>
    </row>
    <row r="273" spans="1:13" x14ac:dyDescent="0.3">
      <c r="A273" t="s">
        <v>280</v>
      </c>
      <c r="B273" s="1">
        <v>0.995304675806161</v>
      </c>
      <c r="C273" s="1">
        <v>0.97538838952895601</v>
      </c>
      <c r="D273" s="1">
        <v>0.99529514180191703</v>
      </c>
      <c r="E273" s="1">
        <v>1.00261111333333</v>
      </c>
      <c r="F273" s="1">
        <v>1.00261111333333</v>
      </c>
      <c r="G273" s="1">
        <v>1.00261111333333</v>
      </c>
      <c r="H273">
        <v>444</v>
      </c>
      <c r="I273">
        <v>435</v>
      </c>
      <c r="J273" s="16">
        <f t="shared" si="17"/>
        <v>7.2874092756439078E-3</v>
      </c>
      <c r="K273" s="16">
        <f t="shared" si="18"/>
        <v>2.7151827306070807E-2</v>
      </c>
      <c r="L273" s="16">
        <f t="shared" si="19"/>
        <v>7.2969184503550027E-3</v>
      </c>
      <c r="M273" s="16">
        <f t="shared" si="20"/>
        <v>7.2969184503550027E-3</v>
      </c>
    </row>
    <row r="274" spans="1:13" x14ac:dyDescent="0.3">
      <c r="A274" t="s">
        <v>281</v>
      </c>
      <c r="B274" s="1"/>
      <c r="C274" s="1"/>
      <c r="D274" s="1"/>
      <c r="E274" s="1">
        <v>1.02871658264642</v>
      </c>
      <c r="F274" s="1">
        <v>1.02871658264642</v>
      </c>
      <c r="G274" s="1">
        <v>1.02871658264642</v>
      </c>
      <c r="H274">
        <v>1338</v>
      </c>
      <c r="I274">
        <v>922</v>
      </c>
      <c r="J274" s="16">
        <f t="shared" si="17"/>
        <v>1</v>
      </c>
      <c r="K274" s="16">
        <f t="shared" si="18"/>
        <v>1</v>
      </c>
      <c r="L274" s="16">
        <f t="shared" si="19"/>
        <v>1</v>
      </c>
      <c r="M274" s="16">
        <f t="shared" si="20"/>
        <v>1</v>
      </c>
    </row>
    <row r="275" spans="1:13" x14ac:dyDescent="0.3">
      <c r="A275" t="s">
        <v>282</v>
      </c>
      <c r="B275" s="1">
        <v>0.99447013638024395</v>
      </c>
      <c r="C275" s="1">
        <v>0.99447013638280601</v>
      </c>
      <c r="D275" s="1">
        <v>0.99447013630488001</v>
      </c>
      <c r="E275" s="1">
        <v>1.00715736649746</v>
      </c>
      <c r="F275" s="1">
        <v>1.00715736649746</v>
      </c>
      <c r="G275" s="1">
        <v>1.00715736649746</v>
      </c>
      <c r="H275">
        <v>197</v>
      </c>
      <c r="I275">
        <v>197</v>
      </c>
      <c r="J275" s="16">
        <f t="shared" si="17"/>
        <v>1.2597068282723086E-2</v>
      </c>
      <c r="K275" s="16">
        <f t="shared" si="18"/>
        <v>1.2597068280179232E-2</v>
      </c>
      <c r="L275" s="16">
        <f t="shared" si="19"/>
        <v>1.259706835755145E-2</v>
      </c>
      <c r="M275" s="16">
        <f t="shared" si="20"/>
        <v>1.2597068282723086E-2</v>
      </c>
    </row>
    <row r="276" spans="1:13" x14ac:dyDescent="0.3">
      <c r="A276" t="s">
        <v>283</v>
      </c>
      <c r="B276" s="1">
        <v>1.02080615402</v>
      </c>
      <c r="C276" s="1">
        <v>1.00200471793526</v>
      </c>
      <c r="D276" s="1">
        <v>1.04946494427432</v>
      </c>
      <c r="E276" s="1">
        <v>1.0391127513774101</v>
      </c>
      <c r="F276" s="1">
        <v>1.0391127513774101</v>
      </c>
      <c r="G276" s="1">
        <v>1.0391127513774101</v>
      </c>
      <c r="H276">
        <v>1023</v>
      </c>
      <c r="I276">
        <v>726</v>
      </c>
      <c r="J276" s="16">
        <f t="shared" si="17"/>
        <v>1.7617527388768522E-2</v>
      </c>
      <c r="K276" s="16">
        <f t="shared" si="18"/>
        <v>3.5711267514483891E-2</v>
      </c>
      <c r="L276" s="16">
        <f t="shared" si="19"/>
        <v>-9.9625309026257509E-3</v>
      </c>
      <c r="M276" s="16">
        <f t="shared" si="20"/>
        <v>1.7617527388768522E-2</v>
      </c>
    </row>
    <row r="277" spans="1:13" x14ac:dyDescent="0.3">
      <c r="A277" t="s">
        <v>284</v>
      </c>
      <c r="B277" s="1">
        <v>0.99555963916776502</v>
      </c>
      <c r="C277" s="1">
        <v>0.99556518230240598</v>
      </c>
      <c r="D277" s="1">
        <v>0.99556082586815298</v>
      </c>
      <c r="E277" s="1">
        <v>1.00311553295454</v>
      </c>
      <c r="F277" s="1">
        <v>1.00311553295454</v>
      </c>
      <c r="G277" s="1">
        <v>1.00311553295454</v>
      </c>
      <c r="H277">
        <v>176</v>
      </c>
      <c r="I277">
        <v>176</v>
      </c>
      <c r="J277" s="16">
        <f t="shared" si="17"/>
        <v>7.5324262645202582E-3</v>
      </c>
      <c r="K277" s="16">
        <f t="shared" si="18"/>
        <v>7.5269003460603622E-3</v>
      </c>
      <c r="L277" s="16">
        <f t="shared" si="19"/>
        <v>7.5312432498534825E-3</v>
      </c>
      <c r="M277" s="16">
        <f t="shared" si="20"/>
        <v>7.5312432498534825E-3</v>
      </c>
    </row>
    <row r="278" spans="1:13" x14ac:dyDescent="0.3">
      <c r="A278" t="s">
        <v>285</v>
      </c>
      <c r="B278" s="1">
        <v>0.97567562772196403</v>
      </c>
      <c r="C278" s="1">
        <v>0.98201261362244197</v>
      </c>
      <c r="D278" s="1">
        <v>0.99766336973509595</v>
      </c>
      <c r="E278" s="1">
        <v>1.0115478625407099</v>
      </c>
      <c r="F278" s="1">
        <v>1.0115478625407099</v>
      </c>
      <c r="G278" s="1">
        <v>1.0115478625407099</v>
      </c>
      <c r="H278">
        <v>319</v>
      </c>
      <c r="I278">
        <v>307</v>
      </c>
      <c r="J278" s="16">
        <f t="shared" si="17"/>
        <v>3.5462716246214422E-2</v>
      </c>
      <c r="K278" s="16">
        <f t="shared" si="18"/>
        <v>2.9198073578134146E-2</v>
      </c>
      <c r="L278" s="16">
        <f t="shared" si="19"/>
        <v>1.3725986994565179E-2</v>
      </c>
      <c r="M278" s="16">
        <f t="shared" si="20"/>
        <v>2.9198073578134146E-2</v>
      </c>
    </row>
    <row r="279" spans="1:13" x14ac:dyDescent="0.3">
      <c r="A279" t="s">
        <v>286</v>
      </c>
      <c r="B279" s="1">
        <v>0.92195119353745802</v>
      </c>
      <c r="C279" s="1">
        <v>0.92298067098430403</v>
      </c>
      <c r="D279" s="1">
        <v>0.91885379304853598</v>
      </c>
      <c r="E279" s="1">
        <v>1.0103322976123501</v>
      </c>
      <c r="F279" s="1">
        <v>1.0103322976123501</v>
      </c>
      <c r="G279" s="1">
        <v>1.0103322976123501</v>
      </c>
      <c r="H279">
        <v>954</v>
      </c>
      <c r="I279">
        <v>712</v>
      </c>
      <c r="J279" s="16">
        <f t="shared" si="17"/>
        <v>8.7477262959678864E-2</v>
      </c>
      <c r="K279" s="16">
        <f t="shared" si="18"/>
        <v>8.6458313600860093E-2</v>
      </c>
      <c r="L279" s="16">
        <f t="shared" si="19"/>
        <v>9.0542987470557043E-2</v>
      </c>
      <c r="M279" s="16">
        <f t="shared" si="20"/>
        <v>8.7477262959678864E-2</v>
      </c>
    </row>
    <row r="280" spans="1:13" x14ac:dyDescent="0.3">
      <c r="A280" t="s">
        <v>287</v>
      </c>
      <c r="B280" s="1">
        <v>1.0131378998627001</v>
      </c>
      <c r="C280" s="1">
        <v>1.01089513050638</v>
      </c>
      <c r="D280" s="1">
        <v>0.99856968973765603</v>
      </c>
      <c r="E280" s="1">
        <v>1.0041721049999901</v>
      </c>
      <c r="F280" s="1">
        <v>1.0041721049999901</v>
      </c>
      <c r="G280" s="1">
        <v>1.0041721049999901</v>
      </c>
      <c r="H280">
        <v>516</v>
      </c>
      <c r="I280">
        <v>460</v>
      </c>
      <c r="J280" s="16">
        <f t="shared" si="17"/>
        <v>-8.9285440394802386E-3</v>
      </c>
      <c r="K280" s="16">
        <f t="shared" si="18"/>
        <v>-6.6950928759268707E-3</v>
      </c>
      <c r="L280" s="16">
        <f t="shared" si="19"/>
        <v>5.5791385106581165E-3</v>
      </c>
      <c r="M280" s="16">
        <f t="shared" si="20"/>
        <v>6.6950928759268707E-3</v>
      </c>
    </row>
    <row r="281" spans="1:13" x14ac:dyDescent="0.3">
      <c r="A281" t="s">
        <v>288</v>
      </c>
      <c r="B281" s="1">
        <v>0.97111630631958101</v>
      </c>
      <c r="C281" s="1">
        <v>0.95961158207702202</v>
      </c>
      <c r="D281" s="1">
        <v>0.96885168191356696</v>
      </c>
      <c r="E281" s="1">
        <v>0.97911242603550297</v>
      </c>
      <c r="F281" s="1">
        <v>0.97911242603550297</v>
      </c>
      <c r="G281" s="1">
        <v>0.97911242603550297</v>
      </c>
      <c r="H281">
        <v>751</v>
      </c>
      <c r="I281">
        <v>676</v>
      </c>
      <c r="J281" s="16">
        <f t="shared" si="17"/>
        <v>8.1667023145634288E-3</v>
      </c>
      <c r="K281" s="16">
        <f t="shared" si="18"/>
        <v>1.9916858820228929E-2</v>
      </c>
      <c r="L281" s="16">
        <f t="shared" si="19"/>
        <v>1.0479638342945458E-2</v>
      </c>
      <c r="M281" s="16">
        <f t="shared" si="20"/>
        <v>1.0479638342945458E-2</v>
      </c>
    </row>
    <row r="282" spans="1:13" x14ac:dyDescent="0.3">
      <c r="A282" t="s">
        <v>289</v>
      </c>
      <c r="B282" s="1">
        <v>1.5946392927333</v>
      </c>
      <c r="C282" s="1">
        <v>1.1406752623249701</v>
      </c>
      <c r="D282" s="1">
        <v>1.8524355861141699</v>
      </c>
      <c r="E282" s="1">
        <v>1.0037695650234699</v>
      </c>
      <c r="F282" s="1">
        <v>1.0037695650234699</v>
      </c>
      <c r="G282" s="1">
        <v>1.0037695650234699</v>
      </c>
      <c r="H282">
        <v>516</v>
      </c>
      <c r="I282">
        <v>426</v>
      </c>
      <c r="J282" s="16">
        <f t="shared" si="17"/>
        <v>-0.58865077035486169</v>
      </c>
      <c r="K282" s="16">
        <f t="shared" si="18"/>
        <v>-0.13639156044574738</v>
      </c>
      <c r="L282" s="16">
        <f t="shared" si="19"/>
        <v>-0.84547893327574308</v>
      </c>
      <c r="M282" s="16">
        <f t="shared" si="20"/>
        <v>0.58865077035486169</v>
      </c>
    </row>
    <row r="283" spans="1:13" x14ac:dyDescent="0.3">
      <c r="A283" t="s">
        <v>290</v>
      </c>
      <c r="B283" s="1">
        <v>0.97847821255012901</v>
      </c>
      <c r="C283" s="1">
        <v>0.98088095551398902</v>
      </c>
      <c r="D283" s="1">
        <v>0.98684054876166805</v>
      </c>
      <c r="E283" s="1">
        <v>0.95971360895779501</v>
      </c>
      <c r="F283" s="1">
        <v>0.95971360895779501</v>
      </c>
      <c r="G283" s="1">
        <v>0.95971360895779501</v>
      </c>
      <c r="H283">
        <v>1178</v>
      </c>
      <c r="I283">
        <v>1161</v>
      </c>
      <c r="J283" s="16">
        <f t="shared" si="17"/>
        <v>-1.9552294994244695E-2</v>
      </c>
      <c r="K283" s="16">
        <f t="shared" si="18"/>
        <v>-2.2055899133472515E-2</v>
      </c>
      <c r="L283" s="16">
        <f t="shared" si="19"/>
        <v>-2.8265661287570625E-2</v>
      </c>
      <c r="M283" s="16">
        <f t="shared" si="20"/>
        <v>2.2055899133472515E-2</v>
      </c>
    </row>
    <row r="284" spans="1:13" x14ac:dyDescent="0.3">
      <c r="A284" t="s">
        <v>291</v>
      </c>
      <c r="B284" s="1">
        <v>0.98201836876661197</v>
      </c>
      <c r="C284" s="1">
        <v>0.98198720076150003</v>
      </c>
      <c r="D284" s="1">
        <v>0.98200293777412395</v>
      </c>
      <c r="E284" s="1">
        <v>1.0064463895261799</v>
      </c>
      <c r="F284" s="1">
        <v>1.0064463895261799</v>
      </c>
      <c r="G284" s="1">
        <v>1.0064463895261799</v>
      </c>
      <c r="H284">
        <v>401</v>
      </c>
      <c r="I284">
        <v>401</v>
      </c>
      <c r="J284" s="16">
        <f t="shared" si="17"/>
        <v>2.4271556849707922E-2</v>
      </c>
      <c r="K284" s="16">
        <f t="shared" si="18"/>
        <v>2.4302525220637854E-2</v>
      </c>
      <c r="L284" s="16">
        <f t="shared" si="19"/>
        <v>2.4286889005149685E-2</v>
      </c>
      <c r="M284" s="16">
        <f t="shared" si="20"/>
        <v>2.4286889005149685E-2</v>
      </c>
    </row>
    <row r="285" spans="1:13" x14ac:dyDescent="0.3">
      <c r="A285" t="s">
        <v>292</v>
      </c>
      <c r="B285" s="1">
        <v>0.98972198005379297</v>
      </c>
      <c r="C285" s="1">
        <v>0.98969837571278696</v>
      </c>
      <c r="D285" s="1">
        <v>1.48813382956434</v>
      </c>
      <c r="E285" s="1">
        <v>0.97034368635437795</v>
      </c>
      <c r="F285" s="1">
        <v>0.97034368635437795</v>
      </c>
      <c r="G285" s="1">
        <v>0.97034368635437795</v>
      </c>
      <c r="H285">
        <v>507</v>
      </c>
      <c r="I285">
        <v>491</v>
      </c>
      <c r="J285" s="16">
        <f t="shared" si="17"/>
        <v>-1.9970546489790728E-2</v>
      </c>
      <c r="K285" s="16">
        <f t="shared" si="18"/>
        <v>-1.9946220736618989E-2</v>
      </c>
      <c r="L285" s="16">
        <f t="shared" si="19"/>
        <v>-0.53361520303730881</v>
      </c>
      <c r="M285" s="16">
        <f t="shared" si="20"/>
        <v>1.9970546489790728E-2</v>
      </c>
    </row>
    <row r="286" spans="1:13" x14ac:dyDescent="0.3">
      <c r="A286" t="s">
        <v>293</v>
      </c>
      <c r="B286" s="1">
        <v>0.97994478910517402</v>
      </c>
      <c r="C286" s="1">
        <v>0.94568978838078999</v>
      </c>
      <c r="D286" s="1">
        <v>0.95316147119593697</v>
      </c>
      <c r="E286" s="1">
        <v>0.96803543307086504</v>
      </c>
      <c r="F286" s="1">
        <v>0.96803543307086504</v>
      </c>
      <c r="G286" s="1">
        <v>0.96803543307086504</v>
      </c>
      <c r="H286">
        <v>705</v>
      </c>
      <c r="I286">
        <v>635</v>
      </c>
      <c r="J286" s="16">
        <f t="shared" si="17"/>
        <v>-1.2302603424886368E-2</v>
      </c>
      <c r="K286" s="16">
        <f t="shared" si="18"/>
        <v>2.3083498730194968E-2</v>
      </c>
      <c r="L286" s="16">
        <f t="shared" si="19"/>
        <v>1.5365100663458068E-2</v>
      </c>
      <c r="M286" s="16">
        <f t="shared" si="20"/>
        <v>1.5365100663458068E-2</v>
      </c>
    </row>
    <row r="287" spans="1:13" x14ac:dyDescent="0.3">
      <c r="A287" t="s">
        <v>294</v>
      </c>
      <c r="B287" s="1">
        <v>0.996878106850273</v>
      </c>
      <c r="C287" s="1">
        <v>0.98673317470065602</v>
      </c>
      <c r="D287" s="1">
        <v>0.966351323575662</v>
      </c>
      <c r="E287" s="1">
        <v>0.92458466029723996</v>
      </c>
      <c r="F287" s="1">
        <v>0.92458466029723996</v>
      </c>
      <c r="G287" s="1">
        <v>0.92458466029723996</v>
      </c>
      <c r="H287">
        <v>491</v>
      </c>
      <c r="I287">
        <v>471</v>
      </c>
      <c r="J287" s="16">
        <f t="shared" si="17"/>
        <v>-7.8190185990963557E-2</v>
      </c>
      <c r="K287" s="16">
        <f t="shared" si="18"/>
        <v>-6.7217764983723893E-2</v>
      </c>
      <c r="L287" s="16">
        <f t="shared" si="19"/>
        <v>-4.5173433079664871E-2</v>
      </c>
      <c r="M287" s="16">
        <f t="shared" si="20"/>
        <v>6.7217764983723893E-2</v>
      </c>
    </row>
    <row r="288" spans="1:13" x14ac:dyDescent="0.3">
      <c r="A288" t="s">
        <v>295</v>
      </c>
      <c r="B288" s="1">
        <v>0.92297201204038204</v>
      </c>
      <c r="C288" s="1">
        <v>0.951719734562127</v>
      </c>
      <c r="D288" s="1">
        <v>0.93780384542365602</v>
      </c>
      <c r="E288" s="1">
        <v>1.00539736231707</v>
      </c>
      <c r="F288" s="1">
        <v>1.00539736231707</v>
      </c>
      <c r="G288" s="1">
        <v>1.00539736231707</v>
      </c>
      <c r="H288">
        <v>1009</v>
      </c>
      <c r="I288">
        <v>820</v>
      </c>
      <c r="J288" s="16">
        <f t="shared" si="17"/>
        <v>8.198285908243079E-2</v>
      </c>
      <c r="K288" s="16">
        <f t="shared" si="18"/>
        <v>5.3389465465908795E-2</v>
      </c>
      <c r="L288" s="16">
        <f t="shared" si="19"/>
        <v>6.7230648723441894E-2</v>
      </c>
      <c r="M288" s="16">
        <f t="shared" si="20"/>
        <v>6.7230648723441894E-2</v>
      </c>
    </row>
    <row r="289" spans="1:13" x14ac:dyDescent="0.3">
      <c r="A289" t="s">
        <v>296</v>
      </c>
      <c r="B289" s="1">
        <v>0.99336815371978304</v>
      </c>
      <c r="C289" s="1">
        <v>0.99969047387018695</v>
      </c>
      <c r="D289" s="1">
        <v>0.99957369583406896</v>
      </c>
      <c r="E289" s="1">
        <v>1.00440075280898</v>
      </c>
      <c r="F289" s="1">
        <v>1.00440075280898</v>
      </c>
      <c r="G289" s="1">
        <v>1.00440075280898</v>
      </c>
      <c r="H289">
        <v>806</v>
      </c>
      <c r="I289">
        <v>801</v>
      </c>
      <c r="J289" s="16">
        <f t="shared" si="17"/>
        <v>1.0984260075813755E-2</v>
      </c>
      <c r="K289" s="16">
        <f t="shared" si="18"/>
        <v>4.689640988041823E-3</v>
      </c>
      <c r="L289" s="16">
        <f t="shared" si="19"/>
        <v>4.8059073645766786E-3</v>
      </c>
      <c r="M289" s="16">
        <f t="shared" si="20"/>
        <v>4.8059073645766786E-3</v>
      </c>
    </row>
    <row r="290" spans="1:13" x14ac:dyDescent="0.3">
      <c r="A290" t="s">
        <v>297</v>
      </c>
      <c r="B290" s="1">
        <v>0.98126828109082398</v>
      </c>
      <c r="C290" s="1">
        <v>0.96919216530198204</v>
      </c>
      <c r="D290" s="1">
        <v>0.96739560225478105</v>
      </c>
      <c r="E290" s="1">
        <v>0.89982326048171202</v>
      </c>
      <c r="F290" s="1">
        <v>0.89982326048171202</v>
      </c>
      <c r="G290" s="1">
        <v>0.89982326048171202</v>
      </c>
      <c r="H290">
        <v>1189</v>
      </c>
      <c r="I290">
        <v>1121</v>
      </c>
      <c r="J290" s="16">
        <f t="shared" si="17"/>
        <v>-9.0512241887935996E-2</v>
      </c>
      <c r="K290" s="16">
        <f t="shared" si="18"/>
        <v>-7.7091699966873525E-2</v>
      </c>
      <c r="L290" s="16">
        <f t="shared" si="19"/>
        <v>-7.5095126721768463E-2</v>
      </c>
      <c r="M290" s="16">
        <f t="shared" si="20"/>
        <v>7.7091699966873525E-2</v>
      </c>
    </row>
    <row r="291" spans="1:13" x14ac:dyDescent="0.3">
      <c r="A291" t="s">
        <v>298</v>
      </c>
      <c r="B291" s="1">
        <v>0.98891900349030204</v>
      </c>
      <c r="C291" s="1">
        <v>0.98595924131758195</v>
      </c>
      <c r="D291" s="1">
        <v>0.98891899724765797</v>
      </c>
      <c r="E291" s="1">
        <v>0.96792099406528098</v>
      </c>
      <c r="F291" s="1">
        <v>0.96792099406528098</v>
      </c>
      <c r="G291" s="1">
        <v>0.96792099406528098</v>
      </c>
      <c r="H291">
        <v>338</v>
      </c>
      <c r="I291">
        <v>337</v>
      </c>
      <c r="J291" s="16">
        <f t="shared" si="17"/>
        <v>-2.1693929105545216E-2</v>
      </c>
      <c r="K291" s="16">
        <f t="shared" si="18"/>
        <v>-1.8636073980108737E-2</v>
      </c>
      <c r="L291" s="16">
        <f t="shared" si="19"/>
        <v>-2.1693922656006354E-2</v>
      </c>
      <c r="M291" s="16">
        <f t="shared" si="20"/>
        <v>2.1693922656006354E-2</v>
      </c>
    </row>
    <row r="292" spans="1:13" x14ac:dyDescent="0.3">
      <c r="A292" t="s">
        <v>299</v>
      </c>
      <c r="B292" s="1">
        <v>0.99267745215178405</v>
      </c>
      <c r="C292" s="1">
        <v>0.973019503971426</v>
      </c>
      <c r="D292" s="1">
        <v>0.97310955015469203</v>
      </c>
      <c r="E292" s="1">
        <v>1.0056743275618301</v>
      </c>
      <c r="F292" s="1">
        <v>1.0056743275618301</v>
      </c>
      <c r="G292" s="1">
        <v>1.0056743275618301</v>
      </c>
      <c r="H292">
        <v>601</v>
      </c>
      <c r="I292">
        <v>566</v>
      </c>
      <c r="J292" s="16">
        <f t="shared" si="17"/>
        <v>1.2923542993839576E-2</v>
      </c>
      <c r="K292" s="16">
        <f t="shared" si="18"/>
        <v>3.2470574912231119E-2</v>
      </c>
      <c r="L292" s="16">
        <f t="shared" si="19"/>
        <v>3.2381036797557022E-2</v>
      </c>
      <c r="M292" s="16">
        <f t="shared" si="20"/>
        <v>3.2381036797557022E-2</v>
      </c>
    </row>
    <row r="293" spans="1:13" x14ac:dyDescent="0.3">
      <c r="A293" t="s">
        <v>300</v>
      </c>
      <c r="B293" s="1">
        <v>0.99335823172176996</v>
      </c>
      <c r="C293" s="1">
        <v>0.99335906667520901</v>
      </c>
      <c r="D293" s="1">
        <v>0.99335874627878096</v>
      </c>
      <c r="E293" s="1">
        <v>1.0070188112831799</v>
      </c>
      <c r="F293" s="1">
        <v>1.0070188112831799</v>
      </c>
      <c r="G293" s="1">
        <v>1.0070188112831799</v>
      </c>
      <c r="H293">
        <v>452</v>
      </c>
      <c r="I293">
        <v>452</v>
      </c>
      <c r="J293" s="16">
        <f t="shared" si="17"/>
        <v>1.3565366811771047E-2</v>
      </c>
      <c r="K293" s="16">
        <f t="shared" si="18"/>
        <v>1.3564537677866396E-2</v>
      </c>
      <c r="L293" s="16">
        <f t="shared" si="19"/>
        <v>1.3564855841166294E-2</v>
      </c>
      <c r="M293" s="16">
        <f t="shared" si="20"/>
        <v>1.3564855841166294E-2</v>
      </c>
    </row>
    <row r="294" spans="1:13" x14ac:dyDescent="0.3">
      <c r="A294" t="s">
        <v>301</v>
      </c>
      <c r="B294" s="1">
        <v>0.96510536661924895</v>
      </c>
      <c r="C294" s="1">
        <v>0.95640646607314705</v>
      </c>
      <c r="D294" s="1">
        <v>0.96388847861174498</v>
      </c>
      <c r="E294" s="1">
        <v>1.00778180486842</v>
      </c>
      <c r="F294" s="1">
        <v>1.00778180486842</v>
      </c>
      <c r="G294" s="1">
        <v>1.00778180486842</v>
      </c>
      <c r="H294">
        <v>807</v>
      </c>
      <c r="I294">
        <v>760</v>
      </c>
      <c r="J294" s="16">
        <f t="shared" si="17"/>
        <v>4.2346902913913007E-2</v>
      </c>
      <c r="K294" s="16">
        <f t="shared" si="18"/>
        <v>5.0978633020647431E-2</v>
      </c>
      <c r="L294" s="16">
        <f t="shared" si="19"/>
        <v>4.3554394457841851E-2</v>
      </c>
      <c r="M294" s="16">
        <f t="shared" si="20"/>
        <v>4.3554394457841851E-2</v>
      </c>
    </row>
    <row r="295" spans="1:13" x14ac:dyDescent="0.3">
      <c r="A295" t="s">
        <v>302</v>
      </c>
      <c r="B295" s="1">
        <v>0.95449291697139405</v>
      </c>
      <c r="C295" s="1">
        <v>1.0718974528491301</v>
      </c>
      <c r="D295" s="1">
        <v>0.94960484225646402</v>
      </c>
      <c r="E295" s="1">
        <v>0.95273640167364004</v>
      </c>
      <c r="F295" s="1">
        <v>0.95273640167364004</v>
      </c>
      <c r="G295" s="1">
        <v>0.95273640167364004</v>
      </c>
      <c r="H295">
        <v>1352</v>
      </c>
      <c r="I295">
        <v>1195</v>
      </c>
      <c r="J295" s="16">
        <f t="shared" si="17"/>
        <v>-1.8436529712398842E-3</v>
      </c>
      <c r="K295" s="16">
        <f t="shared" si="18"/>
        <v>-0.12507242398439256</v>
      </c>
      <c r="L295" s="16">
        <f t="shared" si="19"/>
        <v>3.2869106414690533E-3</v>
      </c>
      <c r="M295" s="16">
        <f t="shared" si="20"/>
        <v>1.8436529712398842E-3</v>
      </c>
    </row>
    <row r="296" spans="1:13" x14ac:dyDescent="0.3">
      <c r="A296" t="s">
        <v>303</v>
      </c>
      <c r="B296" s="1">
        <v>0.93977564137630898</v>
      </c>
      <c r="C296" s="1">
        <v>0.95740369703716599</v>
      </c>
      <c r="D296" s="1">
        <v>0.96017502592942605</v>
      </c>
      <c r="E296" s="1">
        <v>0.96615738958333297</v>
      </c>
      <c r="F296" s="1">
        <v>0.96615738958333297</v>
      </c>
      <c r="G296" s="1">
        <v>0.96615738958333297</v>
      </c>
      <c r="H296">
        <v>685</v>
      </c>
      <c r="I296">
        <v>624</v>
      </c>
      <c r="J296" s="16">
        <f t="shared" si="17"/>
        <v>2.7305849431427977E-2</v>
      </c>
      <c r="K296" s="16">
        <f t="shared" si="18"/>
        <v>9.0603173360213236E-3</v>
      </c>
      <c r="L296" s="16">
        <f t="shared" si="19"/>
        <v>6.1919141936976601E-3</v>
      </c>
      <c r="M296" s="16">
        <f t="shared" si="20"/>
        <v>9.0603173360213236E-3</v>
      </c>
    </row>
    <row r="297" spans="1:13" x14ac:dyDescent="0.3">
      <c r="A297" t="s">
        <v>304</v>
      </c>
      <c r="B297" s="1">
        <v>0.968317806678752</v>
      </c>
      <c r="C297" s="1">
        <v>0.92633508390927</v>
      </c>
      <c r="D297" s="1">
        <v>0.97562496722268399</v>
      </c>
      <c r="E297" s="1">
        <v>1.0229946072390499</v>
      </c>
      <c r="F297" s="1">
        <v>1.0229946072390499</v>
      </c>
      <c r="G297" s="1">
        <v>1.0229946072390499</v>
      </c>
      <c r="H297">
        <v>684</v>
      </c>
      <c r="I297">
        <v>594</v>
      </c>
      <c r="J297" s="16">
        <f t="shared" si="17"/>
        <v>5.3447789629961558E-2</v>
      </c>
      <c r="K297" s="16">
        <f t="shared" si="18"/>
        <v>9.4486835654640777E-2</v>
      </c>
      <c r="L297" s="16">
        <f t="shared" si="19"/>
        <v>4.6304877543989556E-2</v>
      </c>
      <c r="M297" s="16">
        <f t="shared" si="20"/>
        <v>5.3447789629961558E-2</v>
      </c>
    </row>
    <row r="298" spans="1:13" x14ac:dyDescent="0.3">
      <c r="A298" t="s">
        <v>305</v>
      </c>
      <c r="B298" s="1">
        <v>1.0203314366724701</v>
      </c>
      <c r="C298" s="1">
        <v>1.0026277335539</v>
      </c>
      <c r="D298" s="1">
        <v>1.01083530680058</v>
      </c>
      <c r="E298" s="1">
        <v>1.0058048366449499</v>
      </c>
      <c r="F298" s="1">
        <v>1.0058048366449499</v>
      </c>
      <c r="G298" s="1">
        <v>1.0058048366449499</v>
      </c>
      <c r="H298">
        <v>652</v>
      </c>
      <c r="I298">
        <v>614</v>
      </c>
      <c r="J298" s="16">
        <f t="shared" si="17"/>
        <v>-1.4442762152522893E-2</v>
      </c>
      <c r="K298" s="16">
        <f t="shared" si="18"/>
        <v>3.158766964819662E-3</v>
      </c>
      <c r="L298" s="16">
        <f t="shared" si="19"/>
        <v>-5.0014376272141895E-3</v>
      </c>
      <c r="M298" s="16">
        <f t="shared" si="20"/>
        <v>5.0014376272141895E-3</v>
      </c>
    </row>
    <row r="299" spans="1:13" x14ac:dyDescent="0.3">
      <c r="A299" t="s">
        <v>306</v>
      </c>
      <c r="B299" s="1">
        <v>1.0173048710430601</v>
      </c>
      <c r="C299" s="1">
        <v>4.0504580896886599</v>
      </c>
      <c r="D299" s="1"/>
      <c r="E299" s="1">
        <v>1.00372404688524</v>
      </c>
      <c r="F299" s="1">
        <v>1.00372404688524</v>
      </c>
      <c r="G299" s="1">
        <v>1.00372404688524</v>
      </c>
      <c r="H299">
        <v>347</v>
      </c>
      <c r="I299">
        <v>305</v>
      </c>
      <c r="J299" s="16">
        <f t="shared" si="17"/>
        <v>-1.3530436179111378E-2</v>
      </c>
      <c r="K299" s="16">
        <f t="shared" si="18"/>
        <v>-3.0354299593180576</v>
      </c>
      <c r="L299" s="16">
        <f t="shared" si="19"/>
        <v>1</v>
      </c>
      <c r="M299" s="16">
        <f t="shared" si="20"/>
        <v>1.3530436179111378E-2</v>
      </c>
    </row>
    <row r="300" spans="1:13" x14ac:dyDescent="0.3">
      <c r="A300" t="s">
        <v>307</v>
      </c>
      <c r="B300" s="1">
        <v>1.0036502894811199</v>
      </c>
      <c r="C300" s="1">
        <v>1.00366752887935</v>
      </c>
      <c r="D300" s="1">
        <v>1.0035678212844199</v>
      </c>
      <c r="E300" s="1">
        <v>0.98177172364672305</v>
      </c>
      <c r="F300" s="1">
        <v>0.98177172364672305</v>
      </c>
      <c r="G300" s="1">
        <v>0.98177172364672305</v>
      </c>
      <c r="H300">
        <v>351</v>
      </c>
      <c r="I300">
        <v>351</v>
      </c>
      <c r="J300" s="16">
        <f t="shared" si="17"/>
        <v>-2.2284778943449733E-2</v>
      </c>
      <c r="K300" s="16">
        <f t="shared" si="18"/>
        <v>-2.230233842068343E-2</v>
      </c>
      <c r="L300" s="16">
        <f t="shared" si="19"/>
        <v>-2.2200779583197567E-2</v>
      </c>
      <c r="M300" s="16">
        <f t="shared" si="20"/>
        <v>2.2284778943449733E-2</v>
      </c>
    </row>
    <row r="301" spans="1:13" x14ac:dyDescent="0.3">
      <c r="A301" t="s">
        <v>308</v>
      </c>
      <c r="B301" s="1">
        <v>1.0025150168888399</v>
      </c>
      <c r="C301" s="1">
        <v>1.0024069355970799</v>
      </c>
      <c r="D301" s="1">
        <v>1.0024743775376399</v>
      </c>
      <c r="E301" s="1">
        <v>1.00512653141361</v>
      </c>
      <c r="F301" s="1">
        <v>1.00512653141361</v>
      </c>
      <c r="G301" s="1">
        <v>1.00512653141361</v>
      </c>
      <c r="H301">
        <v>191</v>
      </c>
      <c r="I301">
        <v>191</v>
      </c>
      <c r="J301" s="16">
        <f t="shared" si="17"/>
        <v>2.5981947975218683E-3</v>
      </c>
      <c r="K301" s="16">
        <f t="shared" si="18"/>
        <v>2.705724833176167E-3</v>
      </c>
      <c r="L301" s="16">
        <f t="shared" si="19"/>
        <v>2.638626872419809E-3</v>
      </c>
      <c r="M301" s="16">
        <f t="shared" si="20"/>
        <v>2.638626872419809E-3</v>
      </c>
    </row>
    <row r="302" spans="1:13" x14ac:dyDescent="0.3">
      <c r="A302" t="s">
        <v>309</v>
      </c>
      <c r="B302" s="1">
        <v>0.97275933634946798</v>
      </c>
      <c r="C302" s="1">
        <v>0.97700160846495998</v>
      </c>
      <c r="D302" s="1">
        <v>0.97063396923388301</v>
      </c>
      <c r="E302" s="1">
        <v>1.0122787745098001</v>
      </c>
      <c r="F302" s="1">
        <v>1.0122787745098001</v>
      </c>
      <c r="G302" s="1">
        <v>1.0122787745098001</v>
      </c>
      <c r="H302">
        <v>470</v>
      </c>
      <c r="I302">
        <v>459</v>
      </c>
      <c r="J302" s="16">
        <f t="shared" si="17"/>
        <v>3.904007389611576E-2</v>
      </c>
      <c r="K302" s="16">
        <f t="shared" si="18"/>
        <v>3.4849259841413946E-2</v>
      </c>
      <c r="L302" s="16">
        <f t="shared" si="19"/>
        <v>4.113966065927218E-2</v>
      </c>
      <c r="M302" s="16">
        <f t="shared" si="20"/>
        <v>3.904007389611576E-2</v>
      </c>
    </row>
    <row r="303" spans="1:13" x14ac:dyDescent="0.3">
      <c r="A303" t="s">
        <v>310</v>
      </c>
      <c r="B303" s="1">
        <v>0.98430081053787999</v>
      </c>
      <c r="C303" s="1">
        <v>0.990177557792985</v>
      </c>
      <c r="D303" s="1">
        <v>0.99308992795275097</v>
      </c>
      <c r="E303" s="1">
        <v>1.01165582154308</v>
      </c>
      <c r="F303" s="1">
        <v>1.01165582154308</v>
      </c>
      <c r="G303" s="1">
        <v>1.01165582154308</v>
      </c>
      <c r="H303">
        <v>1010</v>
      </c>
      <c r="I303">
        <v>998</v>
      </c>
      <c r="J303" s="16">
        <f t="shared" si="17"/>
        <v>2.7039839461878802E-2</v>
      </c>
      <c r="K303" s="16">
        <f t="shared" si="18"/>
        <v>2.123080131870754E-2</v>
      </c>
      <c r="L303" s="16">
        <f t="shared" si="19"/>
        <v>1.8351986115209048E-2</v>
      </c>
      <c r="M303" s="16">
        <f t="shared" si="20"/>
        <v>2.123080131870754E-2</v>
      </c>
    </row>
    <row r="304" spans="1:13" x14ac:dyDescent="0.3">
      <c r="A304" t="s">
        <v>311</v>
      </c>
      <c r="B304" s="1">
        <v>0.94410194236789302</v>
      </c>
      <c r="C304" s="1">
        <v>0.91724153780522599</v>
      </c>
      <c r="D304" s="1">
        <v>0.97784778388731597</v>
      </c>
      <c r="E304" s="1">
        <v>1.00537108828967</v>
      </c>
      <c r="F304" s="1">
        <v>1.00537108828967</v>
      </c>
      <c r="G304" s="1">
        <v>1.00537108828967</v>
      </c>
      <c r="H304">
        <v>773</v>
      </c>
      <c r="I304">
        <v>649</v>
      </c>
      <c r="J304" s="16">
        <f t="shared" si="17"/>
        <v>6.0941822015200015E-2</v>
      </c>
      <c r="K304" s="16">
        <f t="shared" si="18"/>
        <v>8.7658727718507787E-2</v>
      </c>
      <c r="L304" s="16">
        <f t="shared" si="19"/>
        <v>2.737626407098747E-2</v>
      </c>
      <c r="M304" s="16">
        <f t="shared" si="20"/>
        <v>6.0941822015200015E-2</v>
      </c>
    </row>
    <row r="305" spans="1:13" x14ac:dyDescent="0.3">
      <c r="A305" t="s">
        <v>312</v>
      </c>
      <c r="B305" s="1">
        <v>0.97445178415682099</v>
      </c>
      <c r="C305" s="1">
        <v>0.97918078263955199</v>
      </c>
      <c r="D305" s="1">
        <v>0.97918179995564603</v>
      </c>
      <c r="E305" s="1">
        <v>1.0094359544933</v>
      </c>
      <c r="F305" s="1">
        <v>1.0094359544933</v>
      </c>
      <c r="G305" s="1">
        <v>1.0094359544933</v>
      </c>
      <c r="H305">
        <v>1051</v>
      </c>
      <c r="I305">
        <v>1046</v>
      </c>
      <c r="J305" s="16">
        <f t="shared" si="17"/>
        <v>3.465714707382285E-2</v>
      </c>
      <c r="K305" s="16">
        <f t="shared" si="18"/>
        <v>2.9972354084549159E-2</v>
      </c>
      <c r="L305" s="16">
        <f t="shared" si="19"/>
        <v>2.9971346278071194E-2</v>
      </c>
      <c r="M305" s="16">
        <f t="shared" si="20"/>
        <v>2.9972354084549159E-2</v>
      </c>
    </row>
    <row r="306" spans="1:13" x14ac:dyDescent="0.3">
      <c r="A306" t="s">
        <v>313</v>
      </c>
      <c r="B306" s="1">
        <v>1.06579737872459</v>
      </c>
      <c r="C306" s="1">
        <v>1.11469470153386</v>
      </c>
      <c r="D306" s="1">
        <v>1.19102725373471</v>
      </c>
      <c r="E306" s="1">
        <v>1.00570416250901</v>
      </c>
      <c r="F306" s="1">
        <v>1.00570416250901</v>
      </c>
      <c r="G306" s="1">
        <v>1.00570416250901</v>
      </c>
      <c r="H306">
        <v>1585</v>
      </c>
      <c r="I306">
        <v>1387</v>
      </c>
      <c r="J306" s="16">
        <f t="shared" si="17"/>
        <v>-5.9752378935830137E-2</v>
      </c>
      <c r="K306" s="16">
        <f t="shared" si="18"/>
        <v>-0.10837236544088936</v>
      </c>
      <c r="L306" s="16">
        <f t="shared" si="19"/>
        <v>-0.18427197394048742</v>
      </c>
      <c r="M306" s="16">
        <f t="shared" si="20"/>
        <v>0.10837236544088936</v>
      </c>
    </row>
    <row r="307" spans="1:13" x14ac:dyDescent="0.3">
      <c r="A307" t="s">
        <v>314</v>
      </c>
      <c r="B307" s="1">
        <v>1.00069965582701</v>
      </c>
      <c r="C307" s="1">
        <v>1.00073158500284</v>
      </c>
      <c r="D307" s="1">
        <v>1.0007476202111301</v>
      </c>
      <c r="E307" s="1">
        <v>1.01012548210227</v>
      </c>
      <c r="F307" s="1">
        <v>1.01012548210227</v>
      </c>
      <c r="G307" s="1">
        <v>1.01012548210227</v>
      </c>
      <c r="H307">
        <v>352</v>
      </c>
      <c r="I307">
        <v>352</v>
      </c>
      <c r="J307" s="16">
        <f t="shared" si="17"/>
        <v>9.3313419394618242E-3</v>
      </c>
      <c r="K307" s="16">
        <f t="shared" si="18"/>
        <v>9.299732821193174E-3</v>
      </c>
      <c r="L307" s="16">
        <f t="shared" si="19"/>
        <v>9.2838583495812865E-3</v>
      </c>
      <c r="M307" s="16">
        <f t="shared" si="20"/>
        <v>9.299732821193174E-3</v>
      </c>
    </row>
    <row r="308" spans="1:13" x14ac:dyDescent="0.3">
      <c r="A308" t="s">
        <v>315</v>
      </c>
      <c r="B308" s="1">
        <v>1.01304413063276</v>
      </c>
      <c r="C308" s="1">
        <v>1.0130441306454701</v>
      </c>
      <c r="D308" s="1">
        <v>1.0130441306461799</v>
      </c>
      <c r="E308" s="1">
        <v>1.02813163769841</v>
      </c>
      <c r="F308" s="1">
        <v>1.02813163769841</v>
      </c>
      <c r="G308" s="1">
        <v>1.02813163769841</v>
      </c>
      <c r="H308">
        <v>504</v>
      </c>
      <c r="I308">
        <v>504</v>
      </c>
      <c r="J308" s="16">
        <f t="shared" si="17"/>
        <v>1.4674684167316446E-2</v>
      </c>
      <c r="K308" s="16">
        <f t="shared" si="18"/>
        <v>1.4674684154954163E-2</v>
      </c>
      <c r="L308" s="16">
        <f t="shared" si="19"/>
        <v>1.467468415426371E-2</v>
      </c>
      <c r="M308" s="16">
        <f t="shared" si="20"/>
        <v>1.4674684154954163E-2</v>
      </c>
    </row>
    <row r="309" spans="1:13" x14ac:dyDescent="0.3">
      <c r="A309" t="s">
        <v>316</v>
      </c>
      <c r="B309" s="1">
        <v>0.99906851109220396</v>
      </c>
      <c r="C309" s="1">
        <v>0.99904733744035801</v>
      </c>
      <c r="D309" s="1">
        <v>0.99903346015033001</v>
      </c>
      <c r="E309" s="1">
        <v>1.0022529517699099</v>
      </c>
      <c r="F309" s="1">
        <v>1.0022529517699099</v>
      </c>
      <c r="G309" s="1">
        <v>1.0022529517699099</v>
      </c>
      <c r="H309">
        <v>452</v>
      </c>
      <c r="I309">
        <v>452</v>
      </c>
      <c r="J309" s="16">
        <f t="shared" si="17"/>
        <v>3.1772824136685794E-3</v>
      </c>
      <c r="K309" s="16">
        <f t="shared" si="18"/>
        <v>3.1984084695295873E-3</v>
      </c>
      <c r="L309" s="16">
        <f t="shared" si="19"/>
        <v>3.2122545649723505E-3</v>
      </c>
      <c r="M309" s="16">
        <f t="shared" si="20"/>
        <v>3.1984084695295873E-3</v>
      </c>
    </row>
    <row r="310" spans="1:13" x14ac:dyDescent="0.3">
      <c r="A310" t="s">
        <v>317</v>
      </c>
      <c r="B310" s="1">
        <v>0.99125225578468601</v>
      </c>
      <c r="C310" s="1">
        <v>0.95283082598493796</v>
      </c>
      <c r="D310" s="1">
        <v>0.93870219213519002</v>
      </c>
      <c r="E310" s="1">
        <v>1.00643729920792</v>
      </c>
      <c r="F310" s="1">
        <v>1.00643729920792</v>
      </c>
      <c r="G310" s="1">
        <v>1.00643729920792</v>
      </c>
      <c r="H310">
        <v>570</v>
      </c>
      <c r="I310">
        <v>505</v>
      </c>
      <c r="J310" s="16">
        <f t="shared" si="17"/>
        <v>1.5087917980767257E-2</v>
      </c>
      <c r="K310" s="16">
        <f t="shared" si="18"/>
        <v>5.3263599496134628E-2</v>
      </c>
      <c r="L310" s="16">
        <f t="shared" si="19"/>
        <v>6.730186483155827E-2</v>
      </c>
      <c r="M310" s="16">
        <f t="shared" si="20"/>
        <v>5.3263599496134628E-2</v>
      </c>
    </row>
    <row r="311" spans="1:13" x14ac:dyDescent="0.3">
      <c r="A311" t="s">
        <v>318</v>
      </c>
      <c r="B311" s="1">
        <v>1.06955491742255</v>
      </c>
      <c r="C311" s="1">
        <v>1.0125575099933799</v>
      </c>
      <c r="D311" s="1">
        <v>1.1232331789831</v>
      </c>
      <c r="E311" s="1">
        <v>1.0057943245318299</v>
      </c>
      <c r="F311" s="1">
        <v>1.0057943245318299</v>
      </c>
      <c r="G311" s="1">
        <v>1.0057943245318299</v>
      </c>
      <c r="H311">
        <v>1161</v>
      </c>
      <c r="I311">
        <v>1068</v>
      </c>
      <c r="J311" s="16">
        <f t="shared" si="17"/>
        <v>-6.3393271701348036E-2</v>
      </c>
      <c r="K311" s="16">
        <f t="shared" si="18"/>
        <v>-6.7242231305073728E-3</v>
      </c>
      <c r="L311" s="16">
        <f t="shared" si="19"/>
        <v>-0.11676229581622935</v>
      </c>
      <c r="M311" s="16">
        <f t="shared" si="20"/>
        <v>6.3393271701348036E-2</v>
      </c>
    </row>
    <row r="312" spans="1:13" x14ac:dyDescent="0.3">
      <c r="A312" t="s">
        <v>319</v>
      </c>
      <c r="B312" s="1">
        <v>1.0106128007026001</v>
      </c>
      <c r="C312" s="1">
        <v>1.13385127700611</v>
      </c>
      <c r="D312" s="1">
        <v>1.12073047004892</v>
      </c>
      <c r="E312" s="1">
        <v>0.95784584367245595</v>
      </c>
      <c r="F312" s="1">
        <v>0.95784584367245595</v>
      </c>
      <c r="G312" s="1">
        <v>0.95784584367245595</v>
      </c>
      <c r="H312">
        <v>1263</v>
      </c>
      <c r="I312">
        <v>1209</v>
      </c>
      <c r="J312" s="16">
        <f t="shared" si="17"/>
        <v>-5.5089195593135812E-2</v>
      </c>
      <c r="K312" s="16">
        <f t="shared" si="18"/>
        <v>-0.18375131499118422</v>
      </c>
      <c r="L312" s="16">
        <f t="shared" si="19"/>
        <v>-0.17005307007644535</v>
      </c>
      <c r="M312" s="16">
        <f t="shared" si="20"/>
        <v>0.17005307007644535</v>
      </c>
    </row>
    <row r="313" spans="1:13" x14ac:dyDescent="0.3">
      <c r="A313" t="s">
        <v>320</v>
      </c>
      <c r="B313" s="1">
        <v>0.99540623105155501</v>
      </c>
      <c r="C313" s="1">
        <v>0.92153916389036505</v>
      </c>
      <c r="D313" s="1">
        <v>0.91912929029438495</v>
      </c>
      <c r="E313" s="1">
        <v>1.0037958916299501</v>
      </c>
      <c r="F313" s="1">
        <v>1.0037958916299501</v>
      </c>
      <c r="G313" s="1">
        <v>1.0037958916299501</v>
      </c>
      <c r="H313">
        <v>541</v>
      </c>
      <c r="I313">
        <v>454</v>
      </c>
      <c r="J313" s="16">
        <f t="shared" si="17"/>
        <v>8.3579347637815684E-3</v>
      </c>
      <c r="K313" s="16">
        <f t="shared" si="18"/>
        <v>8.1945670853481659E-2</v>
      </c>
      <c r="L313" s="16">
        <f t="shared" si="19"/>
        <v>8.4346431422512261E-2</v>
      </c>
      <c r="M313" s="16">
        <f t="shared" si="20"/>
        <v>8.1945670853481659E-2</v>
      </c>
    </row>
    <row r="314" spans="1:13" x14ac:dyDescent="0.3">
      <c r="A314" t="s">
        <v>321</v>
      </c>
      <c r="B314" s="1">
        <v>0.97323300903838805</v>
      </c>
      <c r="C314" s="1">
        <v>0.98064776570502599</v>
      </c>
      <c r="D314" s="1">
        <v>0.99757977943534604</v>
      </c>
      <c r="E314" s="1">
        <v>0.970222392638036</v>
      </c>
      <c r="F314" s="1">
        <v>0.970222392638036</v>
      </c>
      <c r="G314" s="1">
        <v>0.970222392638036</v>
      </c>
      <c r="H314">
        <v>880</v>
      </c>
      <c r="I314">
        <v>815</v>
      </c>
      <c r="J314" s="16">
        <f t="shared" si="17"/>
        <v>-3.1030168167590737E-3</v>
      </c>
      <c r="K314" s="16">
        <f t="shared" si="18"/>
        <v>-1.0745343692432598E-2</v>
      </c>
      <c r="L314" s="16">
        <f t="shared" si="19"/>
        <v>-2.8197026789832446E-2</v>
      </c>
      <c r="M314" s="16">
        <f t="shared" si="20"/>
        <v>1.0745343692432598E-2</v>
      </c>
    </row>
    <row r="315" spans="1:13" x14ac:dyDescent="0.3">
      <c r="A315" t="s">
        <v>322</v>
      </c>
      <c r="B315" s="1">
        <v>0.96966122935025001</v>
      </c>
      <c r="C315" s="1">
        <v>0.99468419570358801</v>
      </c>
      <c r="D315" s="1">
        <v>0.99468715563988697</v>
      </c>
      <c r="E315" s="1">
        <v>0.97171474358974297</v>
      </c>
      <c r="F315" s="1">
        <v>0.97171474358974297</v>
      </c>
      <c r="G315" s="1">
        <v>0.97171474358974297</v>
      </c>
      <c r="H315">
        <v>200</v>
      </c>
      <c r="I315">
        <v>195</v>
      </c>
      <c r="J315" s="16">
        <f t="shared" si="17"/>
        <v>2.1132891654054714E-3</v>
      </c>
      <c r="K315" s="16">
        <f t="shared" si="18"/>
        <v>-2.3638060722419918E-2</v>
      </c>
      <c r="L315" s="16">
        <f t="shared" si="19"/>
        <v>-2.3641106818322526E-2</v>
      </c>
      <c r="M315" s="16">
        <f t="shared" si="20"/>
        <v>2.3638060722419918E-2</v>
      </c>
    </row>
    <row r="316" spans="1:13" x14ac:dyDescent="0.3">
      <c r="A316" t="s">
        <v>323</v>
      </c>
      <c r="B316" s="1">
        <v>0.98837911065342099</v>
      </c>
      <c r="C316" s="1">
        <v>0.98837816923663002</v>
      </c>
      <c r="D316" s="1">
        <v>0.98837081285587003</v>
      </c>
      <c r="E316" s="1">
        <v>1.0084761712304999</v>
      </c>
      <c r="F316" s="1">
        <v>1.0084761712304999</v>
      </c>
      <c r="G316" s="1">
        <v>1.0084761712304999</v>
      </c>
      <c r="H316">
        <v>577</v>
      </c>
      <c r="I316">
        <v>577</v>
      </c>
      <c r="J316" s="16">
        <f t="shared" si="17"/>
        <v>1.9928146197601634E-2</v>
      </c>
      <c r="K316" s="16">
        <f t="shared" si="18"/>
        <v>1.992907970185074E-2</v>
      </c>
      <c r="L316" s="16">
        <f t="shared" si="19"/>
        <v>1.9936374252748277E-2</v>
      </c>
      <c r="M316" s="16">
        <f t="shared" si="20"/>
        <v>1.992907970185074E-2</v>
      </c>
    </row>
    <row r="317" spans="1:13" x14ac:dyDescent="0.3">
      <c r="A317" t="s">
        <v>324</v>
      </c>
      <c r="B317" s="1">
        <v>0.95865314126710899</v>
      </c>
      <c r="C317" s="1">
        <v>0.96324554473494794</v>
      </c>
      <c r="D317" s="1">
        <v>0.95631414906898504</v>
      </c>
      <c r="E317" s="1">
        <v>1.0053957977842001</v>
      </c>
      <c r="F317" s="1">
        <v>1.0053957977842001</v>
      </c>
      <c r="G317" s="1">
        <v>1.0053957977842001</v>
      </c>
      <c r="H317">
        <v>1162</v>
      </c>
      <c r="I317">
        <v>1038</v>
      </c>
      <c r="J317" s="16">
        <f t="shared" si="17"/>
        <v>4.6491796186245861E-2</v>
      </c>
      <c r="K317" s="16">
        <f t="shared" si="18"/>
        <v>4.1924039410297327E-2</v>
      </c>
      <c r="L317" s="16">
        <f t="shared" si="19"/>
        <v>4.8818235388875184E-2</v>
      </c>
      <c r="M317" s="16">
        <f t="shared" si="20"/>
        <v>4.6491796186245861E-2</v>
      </c>
    </row>
    <row r="318" spans="1:13" x14ac:dyDescent="0.3">
      <c r="A318" t="s">
        <v>325</v>
      </c>
      <c r="B318" s="1">
        <v>0.98708037473760502</v>
      </c>
      <c r="C318" s="1">
        <v>0.977231223160413</v>
      </c>
      <c r="D318" s="1">
        <v>0.98800586832961301</v>
      </c>
      <c r="E318" s="1">
        <v>1.0138172697238601</v>
      </c>
      <c r="F318" s="1">
        <v>1.0138172697238601</v>
      </c>
      <c r="G318" s="1">
        <v>1.0138172697238601</v>
      </c>
      <c r="H318">
        <v>1063</v>
      </c>
      <c r="I318">
        <v>1014</v>
      </c>
      <c r="J318" s="16">
        <f t="shared" si="17"/>
        <v>2.6372499053540079E-2</v>
      </c>
      <c r="K318" s="16">
        <f t="shared" si="18"/>
        <v>3.6087416989268963E-2</v>
      </c>
      <c r="L318" s="16">
        <f t="shared" si="19"/>
        <v>2.5459618971846384E-2</v>
      </c>
      <c r="M318" s="16">
        <f t="shared" si="20"/>
        <v>2.6372499053540079E-2</v>
      </c>
    </row>
    <row r="319" spans="1:13" x14ac:dyDescent="0.3">
      <c r="A319" t="s">
        <v>326</v>
      </c>
      <c r="B319" s="1">
        <v>1.1121185552983801</v>
      </c>
      <c r="C319" s="1">
        <v>3.21162628429488</v>
      </c>
      <c r="D319" s="1">
        <v>0.98339593274895698</v>
      </c>
      <c r="E319" s="1">
        <v>1.0252407622222199</v>
      </c>
      <c r="F319" s="1">
        <v>1.0252407622222199</v>
      </c>
      <c r="G319" s="1">
        <v>1.0252407622222199</v>
      </c>
      <c r="H319">
        <v>1477</v>
      </c>
      <c r="I319">
        <v>1350</v>
      </c>
      <c r="J319" s="16">
        <f t="shared" si="17"/>
        <v>-8.473891819112972E-2</v>
      </c>
      <c r="K319" s="16">
        <f t="shared" si="18"/>
        <v>-2.1325581294033289</v>
      </c>
      <c r="L319" s="16">
        <f t="shared" si="19"/>
        <v>4.0814636927392407E-2</v>
      </c>
      <c r="M319" s="16">
        <f t="shared" si="20"/>
        <v>8.473891819112972E-2</v>
      </c>
    </row>
    <row r="320" spans="1:13" x14ac:dyDescent="0.3">
      <c r="A320" t="s">
        <v>327</v>
      </c>
      <c r="B320" s="1">
        <v>0.98254442822601695</v>
      </c>
      <c r="C320" s="1">
        <v>0.99096106365201797</v>
      </c>
      <c r="D320" s="1">
        <v>0.98725027769829998</v>
      </c>
      <c r="E320" s="1">
        <v>0.96947409408960905</v>
      </c>
      <c r="F320" s="1">
        <v>0.96947409408960905</v>
      </c>
      <c r="G320" s="1">
        <v>0.96947409408960905</v>
      </c>
      <c r="H320">
        <v>1062</v>
      </c>
      <c r="I320">
        <v>1049</v>
      </c>
      <c r="J320" s="16">
        <f t="shared" si="17"/>
        <v>-1.348188075998223E-2</v>
      </c>
      <c r="K320" s="16">
        <f t="shared" si="18"/>
        <v>-2.2163531437718712E-2</v>
      </c>
      <c r="L320" s="16">
        <f t="shared" si="19"/>
        <v>-1.8335903679183686E-2</v>
      </c>
      <c r="M320" s="16">
        <f t="shared" si="20"/>
        <v>1.8335903679183686E-2</v>
      </c>
    </row>
    <row r="321" spans="1:13" x14ac:dyDescent="0.3">
      <c r="A321" t="s">
        <v>328</v>
      </c>
      <c r="B321" s="1">
        <v>0.989316196648103</v>
      </c>
      <c r="C321" s="1">
        <v>0.99334781096831404</v>
      </c>
      <c r="D321" s="1">
        <v>0.99340199072597202</v>
      </c>
      <c r="E321" s="1">
        <v>1.0065477459734899</v>
      </c>
      <c r="F321" s="1">
        <v>1.0065477459734899</v>
      </c>
      <c r="G321" s="1">
        <v>1.0065477459734899</v>
      </c>
      <c r="H321">
        <v>985</v>
      </c>
      <c r="I321">
        <v>981</v>
      </c>
      <c r="J321" s="16">
        <f t="shared" si="17"/>
        <v>1.7119455479701395E-2</v>
      </c>
      <c r="K321" s="16">
        <f t="shared" si="18"/>
        <v>1.3114067423010816E-2</v>
      </c>
      <c r="L321" s="16">
        <f t="shared" si="19"/>
        <v>1.306024011290584E-2</v>
      </c>
      <c r="M321" s="16">
        <f t="shared" si="20"/>
        <v>1.3114067423010816E-2</v>
      </c>
    </row>
    <row r="322" spans="1:13" x14ac:dyDescent="0.3">
      <c r="A322" t="s">
        <v>329</v>
      </c>
      <c r="B322" s="1">
        <v>0.97981152186919196</v>
      </c>
      <c r="C322" s="1">
        <v>0.98690592300510205</v>
      </c>
      <c r="D322" s="1">
        <v>0.98690581116339404</v>
      </c>
      <c r="E322" s="1">
        <v>1.0060472822262101</v>
      </c>
      <c r="F322" s="1">
        <v>1.0060472822262101</v>
      </c>
      <c r="G322" s="1">
        <v>1.0060472822262101</v>
      </c>
      <c r="H322">
        <v>561</v>
      </c>
      <c r="I322">
        <v>557</v>
      </c>
      <c r="J322" s="16">
        <f t="shared" si="17"/>
        <v>2.6078058974487655E-2</v>
      </c>
      <c r="K322" s="16">
        <f t="shared" si="18"/>
        <v>1.9026301804375933E-2</v>
      </c>
      <c r="L322" s="16">
        <f t="shared" si="19"/>
        <v>1.902641297381099E-2</v>
      </c>
      <c r="M322" s="16">
        <f t="shared" si="20"/>
        <v>1.902641297381099E-2</v>
      </c>
    </row>
    <row r="323" spans="1:13" x14ac:dyDescent="0.3">
      <c r="A323" t="s">
        <v>330</v>
      </c>
      <c r="B323" s="1">
        <v>0.99731250741198796</v>
      </c>
      <c r="C323" s="1">
        <v>0.99734808490211702</v>
      </c>
      <c r="D323" s="1">
        <v>0.99730444872870105</v>
      </c>
      <c r="E323" s="1">
        <v>1.0041052915014099</v>
      </c>
      <c r="F323" s="1">
        <v>1.0041052915014099</v>
      </c>
      <c r="G323" s="1">
        <v>1.0041052915014099</v>
      </c>
      <c r="H323">
        <v>353</v>
      </c>
      <c r="I323">
        <v>353</v>
      </c>
      <c r="J323" s="16">
        <f t="shared" ref="J323:J386" si="21">(E323-B323)/E323</f>
        <v>6.7650117442015567E-3</v>
      </c>
      <c r="K323" s="16">
        <f t="shared" ref="K323:K386" si="22">(F323-C323)/F323</f>
        <v>6.7295797128895229E-3</v>
      </c>
      <c r="L323" s="16">
        <f t="shared" ref="L323:L386" si="23">(G323-D323)/G323</f>
        <v>6.7730374795055255E-3</v>
      </c>
      <c r="M323" s="16">
        <f t="shared" ref="M323:M386" si="24">ABS(MEDIAN(J323:L323))</f>
        <v>6.7650117442015567E-3</v>
      </c>
    </row>
    <row r="324" spans="1:13" x14ac:dyDescent="0.3">
      <c r="A324" t="s">
        <v>331</v>
      </c>
      <c r="B324" s="1">
        <v>1.03320777870285</v>
      </c>
      <c r="C324" s="1">
        <v>0.97950144825396801</v>
      </c>
      <c r="D324" s="1">
        <v>0.923124694453896</v>
      </c>
      <c r="E324" s="1">
        <v>0.97969371890547197</v>
      </c>
      <c r="F324" s="1">
        <v>0.97969371890547197</v>
      </c>
      <c r="G324" s="1">
        <v>0.97969371890547197</v>
      </c>
      <c r="H324">
        <v>512</v>
      </c>
      <c r="I324">
        <v>402</v>
      </c>
      <c r="J324" s="16">
        <f t="shared" si="21"/>
        <v>-5.4623254967036725E-2</v>
      </c>
      <c r="K324" s="16">
        <f t="shared" si="22"/>
        <v>1.9625587854004396E-4</v>
      </c>
      <c r="L324" s="16">
        <f t="shared" si="23"/>
        <v>5.7741540401806089E-2</v>
      </c>
      <c r="M324" s="16">
        <f t="shared" si="24"/>
        <v>1.9625587854004396E-4</v>
      </c>
    </row>
    <row r="325" spans="1:13" x14ac:dyDescent="0.3">
      <c r="A325" t="s">
        <v>332</v>
      </c>
      <c r="B325" s="1">
        <v>0.98036423284219998</v>
      </c>
      <c r="C325" s="1">
        <v>0.98096194690913396</v>
      </c>
      <c r="D325" s="1">
        <v>0.98261199986236603</v>
      </c>
      <c r="E325" s="1">
        <v>1.00907925194585</v>
      </c>
      <c r="F325" s="1">
        <v>1.00907925194585</v>
      </c>
      <c r="G325" s="1">
        <v>1.00907925194585</v>
      </c>
      <c r="H325">
        <v>1780</v>
      </c>
      <c r="I325">
        <v>1773</v>
      </c>
      <c r="J325" s="16">
        <f t="shared" si="21"/>
        <v>2.8456653972696061E-2</v>
      </c>
      <c r="K325" s="16">
        <f t="shared" si="22"/>
        <v>2.7864317874434809E-2</v>
      </c>
      <c r="L325" s="16">
        <f t="shared" si="23"/>
        <v>2.6229111373012651E-2</v>
      </c>
      <c r="M325" s="16">
        <f t="shared" si="24"/>
        <v>2.7864317874434809E-2</v>
      </c>
    </row>
    <row r="326" spans="1:13" x14ac:dyDescent="0.3">
      <c r="A326" t="s">
        <v>333</v>
      </c>
      <c r="B326" s="1">
        <v>0.98639110626014204</v>
      </c>
      <c r="C326" s="1">
        <v>0.986361137289401</v>
      </c>
      <c r="D326" s="1">
        <v>0.98954439700542696</v>
      </c>
      <c r="E326" s="1">
        <v>1.00863910243902</v>
      </c>
      <c r="F326" s="1">
        <v>1.00863910243902</v>
      </c>
      <c r="G326" s="1">
        <v>1.00863910243902</v>
      </c>
      <c r="H326">
        <v>949</v>
      </c>
      <c r="I326">
        <v>943</v>
      </c>
      <c r="J326" s="16">
        <f t="shared" si="21"/>
        <v>2.2057439697786278E-2</v>
      </c>
      <c r="K326" s="16">
        <f t="shared" si="22"/>
        <v>2.208715198106834E-2</v>
      </c>
      <c r="L326" s="16">
        <f t="shared" si="23"/>
        <v>1.8931157227019622E-2</v>
      </c>
      <c r="M326" s="16">
        <f t="shared" si="24"/>
        <v>2.2057439697786278E-2</v>
      </c>
    </row>
    <row r="327" spans="1:13" x14ac:dyDescent="0.3">
      <c r="A327" t="s">
        <v>334</v>
      </c>
      <c r="B327" s="1">
        <v>0.95734952095436499</v>
      </c>
      <c r="C327" s="1">
        <v>0.94702633514429901</v>
      </c>
      <c r="D327" s="1">
        <v>0.929932535047159</v>
      </c>
      <c r="E327" s="1">
        <v>1.0165095146379</v>
      </c>
      <c r="F327" s="1">
        <v>1.0165095146379</v>
      </c>
      <c r="G327" s="1">
        <v>1.0165095146379</v>
      </c>
      <c r="H327">
        <v>768</v>
      </c>
      <c r="I327">
        <v>649</v>
      </c>
      <c r="J327" s="16">
        <f t="shared" si="21"/>
        <v>5.8199153900304501E-2</v>
      </c>
      <c r="K327" s="16">
        <f t="shared" si="22"/>
        <v>6.8354676953862228E-2</v>
      </c>
      <c r="L327" s="16">
        <f t="shared" si="23"/>
        <v>8.5170850192761174E-2</v>
      </c>
      <c r="M327" s="16">
        <f t="shared" si="24"/>
        <v>6.8354676953862228E-2</v>
      </c>
    </row>
    <row r="328" spans="1:13" x14ac:dyDescent="0.3">
      <c r="A328" t="s">
        <v>335</v>
      </c>
      <c r="B328" s="1">
        <v>0.97338571666040197</v>
      </c>
      <c r="C328" s="1">
        <v>0.97127601135903097</v>
      </c>
      <c r="D328" s="1">
        <v>0.97764414314660697</v>
      </c>
      <c r="E328" s="1">
        <v>0.96637861512791901</v>
      </c>
      <c r="F328" s="1">
        <v>0.96637861512791901</v>
      </c>
      <c r="G328" s="1">
        <v>0.96637861512791901</v>
      </c>
      <c r="H328">
        <v>942</v>
      </c>
      <c r="I328">
        <v>899</v>
      </c>
      <c r="J328" s="16">
        <f t="shared" si="21"/>
        <v>-7.2508863739244025E-3</v>
      </c>
      <c r="K328" s="16">
        <f t="shared" si="22"/>
        <v>-5.0677820829713779E-3</v>
      </c>
      <c r="L328" s="16">
        <f t="shared" si="23"/>
        <v>-1.1657468245193684E-2</v>
      </c>
      <c r="M328" s="16">
        <f t="shared" si="24"/>
        <v>7.2508863739244025E-3</v>
      </c>
    </row>
    <row r="329" spans="1:13" x14ac:dyDescent="0.3">
      <c r="A329" t="s">
        <v>336</v>
      </c>
      <c r="B329" s="1">
        <v>1.00029564711217</v>
      </c>
      <c r="C329" s="1">
        <v>1.0002907569253601</v>
      </c>
      <c r="D329" s="1">
        <v>1.0002909875363799</v>
      </c>
      <c r="E329" s="1">
        <v>1.02471853955555</v>
      </c>
      <c r="F329" s="1">
        <v>1.02471853955555</v>
      </c>
      <c r="G329" s="1">
        <v>1.02471853955555</v>
      </c>
      <c r="H329">
        <v>450</v>
      </c>
      <c r="I329">
        <v>450</v>
      </c>
      <c r="J329" s="16">
        <f t="shared" si="21"/>
        <v>2.3833756783568041E-2</v>
      </c>
      <c r="K329" s="16">
        <f t="shared" si="22"/>
        <v>2.3838529007960563E-2</v>
      </c>
      <c r="L329" s="16">
        <f t="shared" si="23"/>
        <v>2.3838303959802524E-2</v>
      </c>
      <c r="M329" s="16">
        <f t="shared" si="24"/>
        <v>2.3838303959802524E-2</v>
      </c>
    </row>
    <row r="330" spans="1:13" x14ac:dyDescent="0.3">
      <c r="A330" t="s">
        <v>337</v>
      </c>
      <c r="B330" s="1">
        <v>0.97888864813830601</v>
      </c>
      <c r="C330" s="1">
        <v>0.97042877511543302</v>
      </c>
      <c r="D330" s="1">
        <v>0.97144251280042504</v>
      </c>
      <c r="E330" s="1">
        <v>1.00879339143167</v>
      </c>
      <c r="F330" s="1">
        <v>1.00879339143167</v>
      </c>
      <c r="G330" s="1">
        <v>1.00879339143167</v>
      </c>
      <c r="H330">
        <v>1877</v>
      </c>
      <c r="I330">
        <v>1844</v>
      </c>
      <c r="J330" s="16">
        <f t="shared" si="21"/>
        <v>2.9644071370177678E-2</v>
      </c>
      <c r="K330" s="16">
        <f t="shared" si="22"/>
        <v>3.803020186501252E-2</v>
      </c>
      <c r="L330" s="16">
        <f t="shared" si="23"/>
        <v>3.7025300669582067E-2</v>
      </c>
      <c r="M330" s="16">
        <f t="shared" si="24"/>
        <v>3.7025300669582067E-2</v>
      </c>
    </row>
    <row r="331" spans="1:13" x14ac:dyDescent="0.3">
      <c r="A331" t="s">
        <v>338</v>
      </c>
      <c r="B331" s="1">
        <v>1.5812823895977599</v>
      </c>
      <c r="C331" s="1">
        <v>1.1751720049507499</v>
      </c>
      <c r="D331" s="1">
        <v>1.3055426463373401</v>
      </c>
      <c r="E331" s="1">
        <v>0.98114372781186099</v>
      </c>
      <c r="F331" s="1">
        <v>0.98114372781186099</v>
      </c>
      <c r="G331" s="1">
        <v>0.98114372781186099</v>
      </c>
      <c r="H331">
        <v>1166</v>
      </c>
      <c r="I331">
        <v>978</v>
      </c>
      <c r="J331" s="16">
        <f t="shared" si="21"/>
        <v>-0.61167252541513306</v>
      </c>
      <c r="K331" s="16">
        <f t="shared" si="22"/>
        <v>-0.19775724151201501</v>
      </c>
      <c r="L331" s="16">
        <f t="shared" si="23"/>
        <v>-0.33063343252364358</v>
      </c>
      <c r="M331" s="16">
        <f t="shared" si="24"/>
        <v>0.33063343252364358</v>
      </c>
    </row>
    <row r="332" spans="1:13" x14ac:dyDescent="0.3">
      <c r="A332" t="s">
        <v>339</v>
      </c>
      <c r="B332" s="1">
        <v>0.99825505583539198</v>
      </c>
      <c r="C332" s="1">
        <v>0.99246181098022401</v>
      </c>
      <c r="D332" s="1">
        <v>0.992460881748082</v>
      </c>
      <c r="E332" s="1">
        <v>1.0054757328155299</v>
      </c>
      <c r="F332" s="1">
        <v>1.0054757328155299</v>
      </c>
      <c r="G332" s="1">
        <v>1.0054757328155299</v>
      </c>
      <c r="H332">
        <v>521</v>
      </c>
      <c r="I332">
        <v>515</v>
      </c>
      <c r="J332" s="16">
        <f t="shared" si="21"/>
        <v>7.1813538054455433E-3</v>
      </c>
      <c r="K332" s="16">
        <f t="shared" si="22"/>
        <v>1.2943049156307708E-2</v>
      </c>
      <c r="L332" s="16">
        <f t="shared" si="23"/>
        <v>1.2943973327932824E-2</v>
      </c>
      <c r="M332" s="16">
        <f t="shared" si="24"/>
        <v>1.2943049156307708E-2</v>
      </c>
    </row>
    <row r="333" spans="1:13" x14ac:dyDescent="0.3">
      <c r="A333" t="s">
        <v>340</v>
      </c>
      <c r="B333" s="1">
        <v>1.3197305092521201</v>
      </c>
      <c r="C333" s="1">
        <v>0.97849850867092103</v>
      </c>
      <c r="D333" s="1">
        <v>1.1828809921596299</v>
      </c>
      <c r="E333" s="1">
        <v>1.00261809491978</v>
      </c>
      <c r="F333" s="1">
        <v>1.00261809491978</v>
      </c>
      <c r="G333" s="1">
        <v>1.00261809491978</v>
      </c>
      <c r="H333">
        <v>401</v>
      </c>
      <c r="I333">
        <v>374</v>
      </c>
      <c r="J333" s="16">
        <f t="shared" si="21"/>
        <v>-0.31628435187748372</v>
      </c>
      <c r="K333" s="16">
        <f t="shared" si="22"/>
        <v>2.4056603776724014E-2</v>
      </c>
      <c r="L333" s="16">
        <f t="shared" si="23"/>
        <v>-0.1797921842356863</v>
      </c>
      <c r="M333" s="16">
        <f t="shared" si="24"/>
        <v>0.1797921842356863</v>
      </c>
    </row>
    <row r="334" spans="1:13" x14ac:dyDescent="0.3">
      <c r="A334" t="s">
        <v>341</v>
      </c>
      <c r="B334" s="1">
        <v>1.0444232219515299</v>
      </c>
      <c r="C334" s="1">
        <v>0.948258424367042</v>
      </c>
      <c r="D334" s="1"/>
      <c r="E334" s="1">
        <v>1.00626976818181</v>
      </c>
      <c r="F334" s="1">
        <v>1.00626976818181</v>
      </c>
      <c r="G334" s="1">
        <v>1.00626976818181</v>
      </c>
      <c r="H334">
        <v>588</v>
      </c>
      <c r="I334">
        <v>506</v>
      </c>
      <c r="J334" s="16">
        <f t="shared" si="21"/>
        <v>-3.7915730926367693E-2</v>
      </c>
      <c r="K334" s="16">
        <f t="shared" si="22"/>
        <v>5.7649892354002127E-2</v>
      </c>
      <c r="L334" s="16">
        <f t="shared" si="23"/>
        <v>1</v>
      </c>
      <c r="M334" s="16">
        <f t="shared" si="24"/>
        <v>5.7649892354002127E-2</v>
      </c>
    </row>
    <row r="335" spans="1:13" x14ac:dyDescent="0.3">
      <c r="A335" t="s">
        <v>342</v>
      </c>
      <c r="B335" s="1">
        <v>0.96653970062503003</v>
      </c>
      <c r="C335" s="1">
        <v>0.96563548791771603</v>
      </c>
      <c r="D335" s="1">
        <v>0.97515102869704895</v>
      </c>
      <c r="E335" s="1">
        <v>1.0137914930041101</v>
      </c>
      <c r="F335" s="1">
        <v>1.0137914930041101</v>
      </c>
      <c r="G335" s="1">
        <v>1.0137914930041101</v>
      </c>
      <c r="H335">
        <v>1262</v>
      </c>
      <c r="I335">
        <v>1215</v>
      </c>
      <c r="J335" s="16">
        <f t="shared" si="21"/>
        <v>4.6608984890040395E-2</v>
      </c>
      <c r="K335" s="16">
        <f t="shared" si="22"/>
        <v>4.7500896800481265E-2</v>
      </c>
      <c r="L335" s="16">
        <f t="shared" si="23"/>
        <v>3.8114804250882074E-2</v>
      </c>
      <c r="M335" s="16">
        <f t="shared" si="24"/>
        <v>4.6608984890040395E-2</v>
      </c>
    </row>
    <row r="336" spans="1:13" x14ac:dyDescent="0.3">
      <c r="A336" t="s">
        <v>343</v>
      </c>
      <c r="B336" s="1">
        <v>0.99654441333586796</v>
      </c>
      <c r="C336" s="1">
        <v>0.99654654303704604</v>
      </c>
      <c r="D336" s="1">
        <v>0.99654565695347797</v>
      </c>
      <c r="E336" s="1">
        <v>1.0026330554621801</v>
      </c>
      <c r="F336" s="1">
        <v>1.0026330554621801</v>
      </c>
      <c r="G336" s="1">
        <v>1.0026330554621801</v>
      </c>
      <c r="H336">
        <v>119</v>
      </c>
      <c r="I336">
        <v>119</v>
      </c>
      <c r="J336" s="16">
        <f t="shared" si="21"/>
        <v>6.0726524954889359E-3</v>
      </c>
      <c r="K336" s="16">
        <f t="shared" si="22"/>
        <v>6.0705283872057765E-3</v>
      </c>
      <c r="L336" s="16">
        <f t="shared" si="23"/>
        <v>6.0714121437937399E-3</v>
      </c>
      <c r="M336" s="16">
        <f t="shared" si="24"/>
        <v>6.0714121437937399E-3</v>
      </c>
    </row>
    <row r="337" spans="1:13" x14ac:dyDescent="0.3">
      <c r="A337" t="s">
        <v>344</v>
      </c>
      <c r="B337" s="1">
        <v>1.1726806010890001</v>
      </c>
      <c r="C337" s="1">
        <v>1.0760841831977801</v>
      </c>
      <c r="D337" s="1">
        <v>1.16194901365124</v>
      </c>
      <c r="E337" s="1">
        <v>0.97060440544412596</v>
      </c>
      <c r="F337" s="1">
        <v>0.97060440544412596</v>
      </c>
      <c r="G337" s="1">
        <v>0.97060440544412596</v>
      </c>
      <c r="H337">
        <v>1582</v>
      </c>
      <c r="I337">
        <v>1396</v>
      </c>
      <c r="J337" s="16">
        <f t="shared" si="21"/>
        <v>-0.20819624814335017</v>
      </c>
      <c r="K337" s="16">
        <f t="shared" si="22"/>
        <v>-0.10867432412424405</v>
      </c>
      <c r="L337" s="16">
        <f t="shared" si="23"/>
        <v>-0.19713964529097644</v>
      </c>
      <c r="M337" s="16">
        <f t="shared" si="24"/>
        <v>0.19713964529097644</v>
      </c>
    </row>
    <row r="338" spans="1:13" x14ac:dyDescent="0.3">
      <c r="A338" t="s">
        <v>345</v>
      </c>
      <c r="B338" s="1">
        <v>1.00181221888282</v>
      </c>
      <c r="C338" s="1">
        <v>0.99581215063329598</v>
      </c>
      <c r="D338" s="1">
        <v>0.99876323924743104</v>
      </c>
      <c r="E338" s="1">
        <v>1.00996800030395</v>
      </c>
      <c r="F338" s="1">
        <v>1.00996800030395</v>
      </c>
      <c r="G338" s="1">
        <v>1.00996800030395</v>
      </c>
      <c r="H338">
        <v>332</v>
      </c>
      <c r="I338">
        <v>329</v>
      </c>
      <c r="J338" s="16">
        <f t="shared" si="21"/>
        <v>8.0752869582753645E-3</v>
      </c>
      <c r="K338" s="16">
        <f t="shared" si="22"/>
        <v>1.4016136814625582E-2</v>
      </c>
      <c r="L338" s="16">
        <f t="shared" si="23"/>
        <v>1.1094174323490283E-2</v>
      </c>
      <c r="M338" s="16">
        <f t="shared" si="24"/>
        <v>1.1094174323490283E-2</v>
      </c>
    </row>
    <row r="339" spans="1:13" x14ac:dyDescent="0.3">
      <c r="A339" t="s">
        <v>346</v>
      </c>
      <c r="B339" s="1">
        <v>0.99660726384749299</v>
      </c>
      <c r="C339" s="1">
        <v>0.99455638133234503</v>
      </c>
      <c r="D339" s="1">
        <v>0.99660726385317999</v>
      </c>
      <c r="E339" s="1">
        <v>1.0070773503079999</v>
      </c>
      <c r="F339" s="1">
        <v>1.0070773503079999</v>
      </c>
      <c r="G339" s="1">
        <v>1.0070773503079999</v>
      </c>
      <c r="H339">
        <v>488</v>
      </c>
      <c r="I339">
        <v>487</v>
      </c>
      <c r="J339" s="16">
        <f t="shared" si="21"/>
        <v>1.0396506740326184E-2</v>
      </c>
      <c r="K339" s="16">
        <f t="shared" si="22"/>
        <v>1.243297644597563E-2</v>
      </c>
      <c r="L339" s="16">
        <f t="shared" si="23"/>
        <v>1.0396506734679144E-2</v>
      </c>
      <c r="M339" s="16">
        <f t="shared" si="24"/>
        <v>1.0396506740326184E-2</v>
      </c>
    </row>
    <row r="340" spans="1:13" x14ac:dyDescent="0.3">
      <c r="A340" t="s">
        <v>347</v>
      </c>
      <c r="B340" s="1">
        <v>0.89681935915472399</v>
      </c>
      <c r="C340" s="1">
        <v>0.92087974372527404</v>
      </c>
      <c r="D340" s="1">
        <v>0.93452303822292904</v>
      </c>
      <c r="E340" s="1">
        <v>1.0053680248730901</v>
      </c>
      <c r="F340" s="1">
        <v>1.0053680248730901</v>
      </c>
      <c r="G340" s="1">
        <v>1.0053680248730901</v>
      </c>
      <c r="H340">
        <v>800</v>
      </c>
      <c r="I340">
        <v>591</v>
      </c>
      <c r="J340" s="16">
        <f t="shared" si="21"/>
        <v>0.10796908498464373</v>
      </c>
      <c r="K340" s="16">
        <f t="shared" si="22"/>
        <v>8.4037167542185542E-2</v>
      </c>
      <c r="L340" s="16">
        <f t="shared" si="23"/>
        <v>7.0466719546908169E-2</v>
      </c>
      <c r="M340" s="16">
        <f t="shared" si="24"/>
        <v>8.4037167542185542E-2</v>
      </c>
    </row>
    <row r="341" spans="1:13" x14ac:dyDescent="0.3">
      <c r="A341" t="s">
        <v>348</v>
      </c>
      <c r="B341" s="1">
        <v>0.99412255558031903</v>
      </c>
      <c r="C341" s="1">
        <v>0.99698875301697998</v>
      </c>
      <c r="D341" s="1">
        <v>0.99699075641820001</v>
      </c>
      <c r="E341" s="1">
        <v>1.0066036877906901</v>
      </c>
      <c r="F341" s="1">
        <v>1.0066036877906901</v>
      </c>
      <c r="G341" s="1">
        <v>1.0066036877906901</v>
      </c>
      <c r="H341">
        <v>345</v>
      </c>
      <c r="I341">
        <v>344</v>
      </c>
      <c r="J341" s="16">
        <f t="shared" si="21"/>
        <v>1.2399251425121289E-2</v>
      </c>
      <c r="K341" s="16">
        <f t="shared" si="22"/>
        <v>9.5518572903434597E-3</v>
      </c>
      <c r="L341" s="16">
        <f t="shared" si="23"/>
        <v>9.5498670321670504E-3</v>
      </c>
      <c r="M341" s="16">
        <f t="shared" si="24"/>
        <v>9.5518572903434597E-3</v>
      </c>
    </row>
    <row r="342" spans="1:13" x14ac:dyDescent="0.3">
      <c r="A342" t="s">
        <v>349</v>
      </c>
      <c r="B342" s="1">
        <v>0.95798953607778903</v>
      </c>
      <c r="C342" s="1">
        <v>0.94947499361395604</v>
      </c>
      <c r="D342" s="1">
        <v>0.972597269387936</v>
      </c>
      <c r="E342" s="1">
        <v>1.02803465842472</v>
      </c>
      <c r="F342" s="1">
        <v>1.02803465842472</v>
      </c>
      <c r="G342" s="1">
        <v>1.02803465842472</v>
      </c>
      <c r="H342">
        <v>1198</v>
      </c>
      <c r="I342">
        <v>1003</v>
      </c>
      <c r="J342" s="16">
        <f t="shared" si="21"/>
        <v>6.8134981416154414E-2</v>
      </c>
      <c r="K342" s="16">
        <f t="shared" si="22"/>
        <v>7.6417331037401628E-2</v>
      </c>
      <c r="L342" s="16">
        <f t="shared" si="23"/>
        <v>5.3925603171523319E-2</v>
      </c>
      <c r="M342" s="16">
        <f t="shared" si="24"/>
        <v>6.8134981416154414E-2</v>
      </c>
    </row>
    <row r="343" spans="1:13" x14ac:dyDescent="0.3">
      <c r="A343" t="s">
        <v>350</v>
      </c>
      <c r="B343" s="1">
        <v>0.95694444979237303</v>
      </c>
      <c r="C343" s="1">
        <v>0.95975739542690996</v>
      </c>
      <c r="D343" s="1">
        <v>0.94385666063768403</v>
      </c>
      <c r="E343" s="1">
        <v>1.01215044700996</v>
      </c>
      <c r="F343" s="1">
        <v>1.01215044700996</v>
      </c>
      <c r="G343" s="1">
        <v>1.01215044700996</v>
      </c>
      <c r="H343">
        <v>675</v>
      </c>
      <c r="I343">
        <v>602</v>
      </c>
      <c r="J343" s="16">
        <f t="shared" si="21"/>
        <v>5.4543272080423984E-2</v>
      </c>
      <c r="K343" s="16">
        <f t="shared" si="22"/>
        <v>5.1764094693458655E-2</v>
      </c>
      <c r="L343" s="16">
        <f t="shared" si="23"/>
        <v>6.7473947745639806E-2</v>
      </c>
      <c r="M343" s="16">
        <f t="shared" si="24"/>
        <v>5.4543272080423984E-2</v>
      </c>
    </row>
    <row r="344" spans="1:13" x14ac:dyDescent="0.3">
      <c r="A344" t="s">
        <v>351</v>
      </c>
      <c r="B344" s="1">
        <v>1.0003214948385899</v>
      </c>
      <c r="C344" s="1">
        <v>0.98721493891462697</v>
      </c>
      <c r="D344" s="1">
        <v>1.00031220631339</v>
      </c>
      <c r="E344" s="1">
        <v>1.00729490643015</v>
      </c>
      <c r="F344" s="1">
        <v>1.00729490643015</v>
      </c>
      <c r="G344" s="1">
        <v>1.00729490643015</v>
      </c>
      <c r="H344">
        <v>457</v>
      </c>
      <c r="I344">
        <v>451</v>
      </c>
      <c r="J344" s="16">
        <f t="shared" si="21"/>
        <v>6.922909613703709E-3</v>
      </c>
      <c r="K344" s="16">
        <f t="shared" si="22"/>
        <v>1.9934546861441336E-2</v>
      </c>
      <c r="L344" s="16">
        <f t="shared" si="23"/>
        <v>6.932130870696657E-3</v>
      </c>
      <c r="M344" s="16">
        <f t="shared" si="24"/>
        <v>6.932130870696657E-3</v>
      </c>
    </row>
    <row r="345" spans="1:13" x14ac:dyDescent="0.3">
      <c r="A345" t="s">
        <v>352</v>
      </c>
      <c r="B345" s="1">
        <v>0.98675420912452105</v>
      </c>
      <c r="C345" s="1">
        <v>0.97790786971795496</v>
      </c>
      <c r="D345" s="1">
        <v>0.967652285410461</v>
      </c>
      <c r="E345" s="1">
        <v>1.0054084517450601</v>
      </c>
      <c r="F345" s="1">
        <v>1.0054084517450601</v>
      </c>
      <c r="G345" s="1">
        <v>1.0054084517450601</v>
      </c>
      <c r="H345">
        <v>678</v>
      </c>
      <c r="I345">
        <v>659</v>
      </c>
      <c r="J345" s="16">
        <f t="shared" si="21"/>
        <v>1.8553894775960349E-2</v>
      </c>
      <c r="K345" s="16">
        <f t="shared" si="22"/>
        <v>2.7352646558096001E-2</v>
      </c>
      <c r="L345" s="16">
        <f t="shared" si="23"/>
        <v>3.7553062408682517E-2</v>
      </c>
      <c r="M345" s="16">
        <f t="shared" si="24"/>
        <v>2.7352646558096001E-2</v>
      </c>
    </row>
    <row r="346" spans="1:13" x14ac:dyDescent="0.3">
      <c r="A346" t="s">
        <v>353</v>
      </c>
      <c r="B346" s="1">
        <v>1.0047568495712</v>
      </c>
      <c r="C346" s="1">
        <v>1.0027057623725899</v>
      </c>
      <c r="D346" s="1">
        <v>1.0050554588451499</v>
      </c>
      <c r="E346" s="1">
        <v>1.0030198623831701</v>
      </c>
      <c r="F346" s="1">
        <v>1.0030198623831701</v>
      </c>
      <c r="G346" s="1">
        <v>1.0030198623831701</v>
      </c>
      <c r="H346">
        <v>429</v>
      </c>
      <c r="I346">
        <v>428</v>
      </c>
      <c r="J346" s="16">
        <f t="shared" si="21"/>
        <v>-1.7317575186426273E-3</v>
      </c>
      <c r="K346" s="16">
        <f t="shared" si="22"/>
        <v>3.1315432760612257E-4</v>
      </c>
      <c r="L346" s="16">
        <f t="shared" si="23"/>
        <v>-2.0294677486677576E-3</v>
      </c>
      <c r="M346" s="16">
        <f t="shared" si="24"/>
        <v>1.7317575186426273E-3</v>
      </c>
    </row>
    <row r="347" spans="1:13" x14ac:dyDescent="0.3">
      <c r="A347" t="s">
        <v>354</v>
      </c>
      <c r="B347" s="1">
        <v>0.98999960353659799</v>
      </c>
      <c r="C347" s="1">
        <v>0.96267109793841898</v>
      </c>
      <c r="D347" s="1">
        <v>0.96719012130165505</v>
      </c>
      <c r="E347" s="1">
        <v>1.00487241244019</v>
      </c>
      <c r="F347" s="1">
        <v>1.00487241244019</v>
      </c>
      <c r="G347" s="1">
        <v>1.00487241244019</v>
      </c>
      <c r="H347">
        <v>660</v>
      </c>
      <c r="I347">
        <v>627</v>
      </c>
      <c r="J347" s="16">
        <f t="shared" si="21"/>
        <v>1.4800693818905317E-2</v>
      </c>
      <c r="K347" s="16">
        <f t="shared" si="22"/>
        <v>4.1996689310328565E-2</v>
      </c>
      <c r="L347" s="16">
        <f t="shared" si="23"/>
        <v>3.7499577729503832E-2</v>
      </c>
      <c r="M347" s="16">
        <f t="shared" si="24"/>
        <v>3.7499577729503832E-2</v>
      </c>
    </row>
    <row r="348" spans="1:13" x14ac:dyDescent="0.3">
      <c r="A348" t="s">
        <v>355</v>
      </c>
      <c r="B348" s="1">
        <v>0.98067303609133105</v>
      </c>
      <c r="C348" s="1">
        <v>0.97851075477901905</v>
      </c>
      <c r="D348" s="1">
        <v>0.97608928324894895</v>
      </c>
      <c r="E348" s="1">
        <v>0.96388345195729497</v>
      </c>
      <c r="F348" s="1">
        <v>0.96388345195729497</v>
      </c>
      <c r="G348" s="1">
        <v>0.96388345195729497</v>
      </c>
      <c r="H348">
        <v>866</v>
      </c>
      <c r="I348">
        <v>843</v>
      </c>
      <c r="J348" s="16">
        <f t="shared" si="21"/>
        <v>-1.7418686979159749E-2</v>
      </c>
      <c r="K348" s="16">
        <f t="shared" si="22"/>
        <v>-1.5175385356000647E-2</v>
      </c>
      <c r="L348" s="16">
        <f t="shared" si="23"/>
        <v>-1.2663181701966557E-2</v>
      </c>
      <c r="M348" s="16">
        <f t="shared" si="24"/>
        <v>1.5175385356000647E-2</v>
      </c>
    </row>
    <row r="349" spans="1:13" x14ac:dyDescent="0.3">
      <c r="A349" t="s">
        <v>356</v>
      </c>
      <c r="B349" s="1">
        <v>0.97866910258377904</v>
      </c>
      <c r="C349" s="1">
        <v>0.98414279104746705</v>
      </c>
      <c r="D349" s="1">
        <v>0.98327652899595497</v>
      </c>
      <c r="E349" s="1">
        <v>0.97282311177024405</v>
      </c>
      <c r="F349" s="1">
        <v>0.97282311177024405</v>
      </c>
      <c r="G349" s="1">
        <v>0.97282311177024405</v>
      </c>
      <c r="H349">
        <v>1102</v>
      </c>
      <c r="I349">
        <v>1062</v>
      </c>
      <c r="J349" s="16">
        <f t="shared" si="21"/>
        <v>-6.0093050245250117E-3</v>
      </c>
      <c r="K349" s="16">
        <f t="shared" si="22"/>
        <v>-1.163590702180646E-2</v>
      </c>
      <c r="L349" s="16">
        <f t="shared" si="23"/>
        <v>-1.0745444982992699E-2</v>
      </c>
      <c r="M349" s="16">
        <f t="shared" si="24"/>
        <v>1.0745444982992699E-2</v>
      </c>
    </row>
    <row r="350" spans="1:13" x14ac:dyDescent="0.3">
      <c r="A350" t="s">
        <v>357</v>
      </c>
      <c r="B350" s="1">
        <v>1.08759935874576</v>
      </c>
      <c r="C350" s="1">
        <v>0.96833734297552199</v>
      </c>
      <c r="D350" s="1">
        <v>0.96617768900482304</v>
      </c>
      <c r="E350" s="1">
        <v>0.97589900311827904</v>
      </c>
      <c r="F350" s="1">
        <v>0.97589900311827904</v>
      </c>
      <c r="G350" s="1">
        <v>0.97589900311827904</v>
      </c>
      <c r="H350">
        <v>1021</v>
      </c>
      <c r="I350">
        <v>930</v>
      </c>
      <c r="J350" s="16">
        <f t="shared" si="21"/>
        <v>-0.11445892994107591</v>
      </c>
      <c r="K350" s="16">
        <f t="shared" si="22"/>
        <v>7.7484044133618001E-3</v>
      </c>
      <c r="L350" s="16">
        <f t="shared" si="23"/>
        <v>9.9613936302769025E-3</v>
      </c>
      <c r="M350" s="16">
        <f t="shared" si="24"/>
        <v>7.7484044133618001E-3</v>
      </c>
    </row>
    <row r="351" spans="1:13" x14ac:dyDescent="0.3">
      <c r="A351" t="s">
        <v>358</v>
      </c>
      <c r="B351" s="1">
        <v>1.0369675921352799</v>
      </c>
      <c r="C351" s="1">
        <v>1.17022464846839</v>
      </c>
      <c r="D351" s="1">
        <v>1.02587751502519</v>
      </c>
      <c r="E351" s="1">
        <v>1.00523786207584</v>
      </c>
      <c r="F351" s="1">
        <v>1.00523786207584</v>
      </c>
      <c r="G351" s="1">
        <v>1.00523786207584</v>
      </c>
      <c r="H351">
        <v>1091</v>
      </c>
      <c r="I351">
        <v>1002</v>
      </c>
      <c r="J351" s="16">
        <f t="shared" si="21"/>
        <v>-3.1564400085286548E-2</v>
      </c>
      <c r="K351" s="16">
        <f t="shared" si="22"/>
        <v>-0.16412711122106804</v>
      </c>
      <c r="L351" s="16">
        <f t="shared" si="23"/>
        <v>-2.0532108596395905E-2</v>
      </c>
      <c r="M351" s="16">
        <f t="shared" si="24"/>
        <v>3.1564400085286548E-2</v>
      </c>
    </row>
    <row r="352" spans="1:13" x14ac:dyDescent="0.3">
      <c r="A352" t="s">
        <v>359</v>
      </c>
      <c r="B352" s="1">
        <v>1.0094540500899301</v>
      </c>
      <c r="C352" s="1">
        <v>1.0060542571837701</v>
      </c>
      <c r="D352" s="1">
        <v>1.0095780291846701</v>
      </c>
      <c r="E352" s="1">
        <v>1.0091342397260199</v>
      </c>
      <c r="F352" s="1">
        <v>1.0091342397260199</v>
      </c>
      <c r="G352" s="1">
        <v>1.0091342397260199</v>
      </c>
      <c r="H352">
        <v>293</v>
      </c>
      <c r="I352">
        <v>292</v>
      </c>
      <c r="J352" s="16">
        <f t="shared" si="21"/>
        <v>-3.1691558102020626E-4</v>
      </c>
      <c r="K352" s="16">
        <f t="shared" si="22"/>
        <v>3.0521038936168225E-3</v>
      </c>
      <c r="L352" s="16">
        <f t="shared" si="23"/>
        <v>-4.3977247147088187E-4</v>
      </c>
      <c r="M352" s="16">
        <f t="shared" si="24"/>
        <v>3.1691558102020626E-4</v>
      </c>
    </row>
    <row r="353" spans="1:13" x14ac:dyDescent="0.3">
      <c r="A353" t="s">
        <v>360</v>
      </c>
      <c r="B353" s="1">
        <v>0.98056885341631195</v>
      </c>
      <c r="C353" s="1">
        <v>0.98436405030023599</v>
      </c>
      <c r="D353" s="1">
        <v>0.98436703021735295</v>
      </c>
      <c r="E353" s="1">
        <v>1.0095143508714499</v>
      </c>
      <c r="F353" s="1">
        <v>1.0095143508714499</v>
      </c>
      <c r="G353" s="1">
        <v>1.0095143508714499</v>
      </c>
      <c r="H353">
        <v>1843</v>
      </c>
      <c r="I353">
        <v>1836</v>
      </c>
      <c r="J353" s="16">
        <f t="shared" si="21"/>
        <v>2.8672695370948569E-2</v>
      </c>
      <c r="K353" s="16">
        <f t="shared" si="22"/>
        <v>2.4913267007549977E-2</v>
      </c>
      <c r="L353" s="16">
        <f t="shared" si="23"/>
        <v>2.4910315175201699E-2</v>
      </c>
      <c r="M353" s="16">
        <f t="shared" si="24"/>
        <v>2.4913267007549977E-2</v>
      </c>
    </row>
    <row r="354" spans="1:13" x14ac:dyDescent="0.3">
      <c r="A354" t="s">
        <v>361</v>
      </c>
      <c r="B354" s="1">
        <v>0.96092280873926295</v>
      </c>
      <c r="C354" s="1">
        <v>0.98233443832933498</v>
      </c>
      <c r="D354" s="1">
        <v>0.95873913321247195</v>
      </c>
      <c r="E354" s="1">
        <v>0.79179757882882795</v>
      </c>
      <c r="F354" s="1">
        <v>0.79179757882882795</v>
      </c>
      <c r="G354" s="1">
        <v>0.79179757882882795</v>
      </c>
      <c r="H354">
        <v>465</v>
      </c>
      <c r="I354">
        <v>444</v>
      </c>
      <c r="J354" s="16">
        <f t="shared" si="21"/>
        <v>-0.21359654845193302</v>
      </c>
      <c r="K354" s="16">
        <f t="shared" si="22"/>
        <v>-0.24063834570236489</v>
      </c>
      <c r="L354" s="16">
        <f t="shared" si="23"/>
        <v>-0.21083867751979282</v>
      </c>
      <c r="M354" s="16">
        <f t="shared" si="24"/>
        <v>0.21359654845193302</v>
      </c>
    </row>
    <row r="355" spans="1:13" x14ac:dyDescent="0.3">
      <c r="A355" t="s">
        <v>362</v>
      </c>
      <c r="B355" s="1">
        <v>0.96590377105454195</v>
      </c>
      <c r="C355" s="1">
        <v>0.989676023959153</v>
      </c>
      <c r="D355" s="1">
        <v>0.95873983622033798</v>
      </c>
      <c r="E355" s="1">
        <v>1.0060029364321601</v>
      </c>
      <c r="F355" s="1">
        <v>1.0060029364321601</v>
      </c>
      <c r="G355" s="1">
        <v>1.0060029364321601</v>
      </c>
      <c r="H355">
        <v>421</v>
      </c>
      <c r="I355">
        <v>398</v>
      </c>
      <c r="J355" s="16">
        <f t="shared" si="21"/>
        <v>3.985988899777157E-2</v>
      </c>
      <c r="K355" s="16">
        <f t="shared" si="22"/>
        <v>1.6229487888883624E-2</v>
      </c>
      <c r="L355" s="16">
        <f t="shared" si="23"/>
        <v>4.6981075800278549E-2</v>
      </c>
      <c r="M355" s="16">
        <f t="shared" si="24"/>
        <v>3.985988899777157E-2</v>
      </c>
    </row>
    <row r="356" spans="1:13" x14ac:dyDescent="0.3">
      <c r="A356" t="s">
        <v>363</v>
      </c>
      <c r="B356" s="1">
        <v>0.99506863498166098</v>
      </c>
      <c r="C356" s="1">
        <v>0.99110009958096001</v>
      </c>
      <c r="D356" s="1">
        <v>0.99506863498453302</v>
      </c>
      <c r="E356" s="1">
        <v>1.0042131509960099</v>
      </c>
      <c r="F356" s="1">
        <v>1.0042131509960099</v>
      </c>
      <c r="G356" s="1">
        <v>1.0042131509960099</v>
      </c>
      <c r="H356">
        <v>252</v>
      </c>
      <c r="I356">
        <v>251</v>
      </c>
      <c r="J356" s="16">
        <f t="shared" si="21"/>
        <v>9.1061504276050767E-3</v>
      </c>
      <c r="K356" s="16">
        <f t="shared" si="22"/>
        <v>1.3058035937932094E-2</v>
      </c>
      <c r="L356" s="16">
        <f t="shared" si="23"/>
        <v>9.1061504247450901E-3</v>
      </c>
      <c r="M356" s="16">
        <f t="shared" si="24"/>
        <v>9.1061504276050767E-3</v>
      </c>
    </row>
    <row r="357" spans="1:13" x14ac:dyDescent="0.3">
      <c r="A357" t="s">
        <v>364</v>
      </c>
      <c r="B357" s="1">
        <v>0.99750713172772099</v>
      </c>
      <c r="C357" s="1">
        <v>0.98478111054656403</v>
      </c>
      <c r="D357" s="1">
        <v>1.03798204399282</v>
      </c>
      <c r="E357" s="1">
        <v>1.01224137828746</v>
      </c>
      <c r="F357" s="1">
        <v>1.01224137828746</v>
      </c>
      <c r="G357" s="1">
        <v>1.01224137828746</v>
      </c>
      <c r="H357">
        <v>705</v>
      </c>
      <c r="I357">
        <v>654</v>
      </c>
      <c r="J357" s="16">
        <f t="shared" si="21"/>
        <v>1.4556060318999031E-2</v>
      </c>
      <c r="K357" s="16">
        <f t="shared" si="22"/>
        <v>2.7128181410005225E-2</v>
      </c>
      <c r="L357" s="16">
        <f t="shared" si="23"/>
        <v>-2.5429375105084983E-2</v>
      </c>
      <c r="M357" s="16">
        <f t="shared" si="24"/>
        <v>1.4556060318999031E-2</v>
      </c>
    </row>
    <row r="358" spans="1:13" x14ac:dyDescent="0.3">
      <c r="A358" t="s">
        <v>365</v>
      </c>
      <c r="B358" s="1">
        <v>0.99338661173120402</v>
      </c>
      <c r="C358" s="1">
        <v>0.95336635420974902</v>
      </c>
      <c r="D358" s="1">
        <v>0.95196979794166203</v>
      </c>
      <c r="E358" s="1">
        <v>1.00523398843843</v>
      </c>
      <c r="F358" s="1">
        <v>1.00523398843843</v>
      </c>
      <c r="G358" s="1">
        <v>1.00523398843843</v>
      </c>
      <c r="H358">
        <v>725</v>
      </c>
      <c r="I358">
        <v>666</v>
      </c>
      <c r="J358" s="16">
        <f t="shared" si="21"/>
        <v>1.1785690539204908E-2</v>
      </c>
      <c r="K358" s="16">
        <f t="shared" si="22"/>
        <v>5.1597573127480735E-2</v>
      </c>
      <c r="L358" s="16">
        <f t="shared" si="23"/>
        <v>5.2986857895156024E-2</v>
      </c>
      <c r="M358" s="16">
        <f t="shared" si="24"/>
        <v>5.1597573127480735E-2</v>
      </c>
    </row>
    <row r="359" spans="1:13" x14ac:dyDescent="0.3">
      <c r="A359" t="s">
        <v>366</v>
      </c>
      <c r="B359" s="1">
        <v>0.99915852590896803</v>
      </c>
      <c r="C359" s="1">
        <v>0.98619717039388</v>
      </c>
      <c r="D359" s="1">
        <v>0.95389824848793803</v>
      </c>
      <c r="E359" s="1">
        <v>1.00490322187028</v>
      </c>
      <c r="F359" s="1">
        <v>1.00490322187028</v>
      </c>
      <c r="G359" s="1">
        <v>1.00490322187028</v>
      </c>
      <c r="H359">
        <v>800</v>
      </c>
      <c r="I359">
        <v>663</v>
      </c>
      <c r="J359" s="16">
        <f t="shared" si="21"/>
        <v>5.716665880143394E-3</v>
      </c>
      <c r="K359" s="16">
        <f t="shared" si="22"/>
        <v>1.8614779084482565E-2</v>
      </c>
      <c r="L359" s="16">
        <f t="shared" si="23"/>
        <v>5.0756104938557041E-2</v>
      </c>
      <c r="M359" s="16">
        <f t="shared" si="24"/>
        <v>1.8614779084482565E-2</v>
      </c>
    </row>
    <row r="360" spans="1:13" x14ac:dyDescent="0.3">
      <c r="A360" t="s">
        <v>367</v>
      </c>
      <c r="B360" s="1">
        <v>0.99838638441349803</v>
      </c>
      <c r="C360" s="1">
        <v>0.98552165414215398</v>
      </c>
      <c r="D360" s="1">
        <v>0.99833783032995005</v>
      </c>
      <c r="E360" s="1">
        <v>1.0049064116630599</v>
      </c>
      <c r="F360" s="1">
        <v>1.0049064116630599</v>
      </c>
      <c r="G360" s="1">
        <v>1.0049064116630599</v>
      </c>
      <c r="H360">
        <v>469</v>
      </c>
      <c r="I360">
        <v>463</v>
      </c>
      <c r="J360" s="16">
        <f t="shared" si="21"/>
        <v>6.4881935012949671E-3</v>
      </c>
      <c r="K360" s="16">
        <f t="shared" si="22"/>
        <v>1.9290112288989525E-2</v>
      </c>
      <c r="L360" s="16">
        <f t="shared" si="23"/>
        <v>6.5365105216507492E-3</v>
      </c>
      <c r="M360" s="16">
        <f t="shared" si="24"/>
        <v>6.5365105216507492E-3</v>
      </c>
    </row>
    <row r="361" spans="1:13" x14ac:dyDescent="0.3">
      <c r="A361" t="s">
        <v>368</v>
      </c>
      <c r="B361" s="1">
        <v>0.98237985433639696</v>
      </c>
      <c r="C361" s="1">
        <v>1.14207447637738</v>
      </c>
      <c r="D361" s="1">
        <v>0.98545464939071303</v>
      </c>
      <c r="E361" s="1">
        <v>1.0040864133226299</v>
      </c>
      <c r="F361" s="1">
        <v>1.0040864133226299</v>
      </c>
      <c r="G361" s="1">
        <v>1.0040864133226299</v>
      </c>
      <c r="H361">
        <v>654</v>
      </c>
      <c r="I361">
        <v>623</v>
      </c>
      <c r="J361" s="16">
        <f t="shared" si="21"/>
        <v>2.1618218012136658E-2</v>
      </c>
      <c r="K361" s="16">
        <f t="shared" si="22"/>
        <v>-0.13742648164925642</v>
      </c>
      <c r="L361" s="16">
        <f t="shared" si="23"/>
        <v>1.8555936704951908E-2</v>
      </c>
      <c r="M361" s="16">
        <f t="shared" si="24"/>
        <v>1.8555936704951908E-2</v>
      </c>
    </row>
    <row r="362" spans="1:13" x14ac:dyDescent="0.3">
      <c r="A362" t="s">
        <v>369</v>
      </c>
      <c r="B362" s="1">
        <v>0.90291351800465303</v>
      </c>
      <c r="C362" s="1">
        <v>0.88082792622867001</v>
      </c>
      <c r="D362" s="1">
        <v>0.899177976707771</v>
      </c>
      <c r="E362" s="1">
        <v>1.01684702911646</v>
      </c>
      <c r="F362" s="1">
        <v>1.01684702911646</v>
      </c>
      <c r="G362" s="1">
        <v>1.01684702911646</v>
      </c>
      <c r="H362">
        <v>718</v>
      </c>
      <c r="I362">
        <v>498</v>
      </c>
      <c r="J362" s="16">
        <f t="shared" si="21"/>
        <v>0.1120458710596853</v>
      </c>
      <c r="K362" s="16">
        <f t="shared" si="22"/>
        <v>0.13376555075936758</v>
      </c>
      <c r="L362" s="16">
        <f t="shared" si="23"/>
        <v>0.11571952224803352</v>
      </c>
      <c r="M362" s="16">
        <f t="shared" si="24"/>
        <v>0.11571952224803352</v>
      </c>
    </row>
    <row r="363" spans="1:13" x14ac:dyDescent="0.3">
      <c r="A363" t="s">
        <v>370</v>
      </c>
      <c r="B363" s="1">
        <v>0.94471014936439901</v>
      </c>
      <c r="C363" s="1">
        <v>0.979940244978454</v>
      </c>
      <c r="D363" s="1">
        <v>0.98045058558096798</v>
      </c>
      <c r="E363" s="1">
        <v>0.969702904929577</v>
      </c>
      <c r="F363" s="1">
        <v>0.969702904929577</v>
      </c>
      <c r="G363" s="1">
        <v>0.969702904929577</v>
      </c>
      <c r="H363">
        <v>313</v>
      </c>
      <c r="I363">
        <v>284</v>
      </c>
      <c r="J363" s="16">
        <f t="shared" si="21"/>
        <v>2.5773621423762827E-2</v>
      </c>
      <c r="K363" s="16">
        <f t="shared" si="22"/>
        <v>-1.0557192307906376E-2</v>
      </c>
      <c r="L363" s="16">
        <f t="shared" si="23"/>
        <v>-1.1083477833008564E-2</v>
      </c>
      <c r="M363" s="16">
        <f t="shared" si="24"/>
        <v>1.0557192307906376E-2</v>
      </c>
    </row>
    <row r="364" spans="1:13" x14ac:dyDescent="0.3">
      <c r="A364" t="s">
        <v>371</v>
      </c>
      <c r="B364" s="1">
        <v>0.96365221508872501</v>
      </c>
      <c r="C364" s="1">
        <v>0.93464707881318299</v>
      </c>
      <c r="D364" s="1">
        <v>0.934681901036436</v>
      </c>
      <c r="E364" s="1">
        <v>1.0050016414538301</v>
      </c>
      <c r="F364" s="1">
        <v>1.0050016414538301</v>
      </c>
      <c r="G364" s="1">
        <v>1.0050016414538301</v>
      </c>
      <c r="H364">
        <v>620</v>
      </c>
      <c r="I364">
        <v>509</v>
      </c>
      <c r="J364" s="16">
        <f t="shared" si="21"/>
        <v>4.1143640626585661E-2</v>
      </c>
      <c r="K364" s="16">
        <f t="shared" si="22"/>
        <v>7.0004425603596585E-2</v>
      </c>
      <c r="L364" s="16">
        <f t="shared" si="23"/>
        <v>6.9969776681827023E-2</v>
      </c>
      <c r="M364" s="16">
        <f t="shared" si="24"/>
        <v>6.9969776681827023E-2</v>
      </c>
    </row>
    <row r="365" spans="1:13" x14ac:dyDescent="0.3">
      <c r="A365" t="s">
        <v>372</v>
      </c>
      <c r="B365" s="1">
        <v>1.0487835887079799</v>
      </c>
      <c r="C365" s="1">
        <v>1.06193534570064</v>
      </c>
      <c r="D365" s="1">
        <v>1.0415764961171901</v>
      </c>
      <c r="E365" s="1">
        <v>1.0530124520900299</v>
      </c>
      <c r="F365" s="1">
        <v>1.0530124520900299</v>
      </c>
      <c r="G365" s="1">
        <v>1.0530124520900299</v>
      </c>
      <c r="H365">
        <v>330</v>
      </c>
      <c r="I365">
        <v>311</v>
      </c>
      <c r="J365" s="16">
        <f t="shared" si="21"/>
        <v>4.0159671176314042E-3</v>
      </c>
      <c r="K365" s="16">
        <f t="shared" si="22"/>
        <v>-8.4736829017546741E-3</v>
      </c>
      <c r="L365" s="16">
        <f t="shared" si="23"/>
        <v>1.0860228623262393E-2</v>
      </c>
      <c r="M365" s="16">
        <f t="shared" si="24"/>
        <v>4.0159671176314042E-3</v>
      </c>
    </row>
    <row r="366" spans="1:13" x14ac:dyDescent="0.3">
      <c r="A366" t="s">
        <v>373</v>
      </c>
      <c r="B366" s="1">
        <v>0.99364335953910599</v>
      </c>
      <c r="C366" s="1">
        <v>0.99366011715152003</v>
      </c>
      <c r="D366" s="1">
        <v>0.99369907192444396</v>
      </c>
      <c r="E366" s="1">
        <v>1.00811207916666</v>
      </c>
      <c r="F366" s="1">
        <v>1.00811207916666</v>
      </c>
      <c r="G366" s="1">
        <v>1.00811207916666</v>
      </c>
      <c r="H366">
        <v>216</v>
      </c>
      <c r="I366">
        <v>216</v>
      </c>
      <c r="J366" s="16">
        <f t="shared" si="21"/>
        <v>1.4352292693005293E-2</v>
      </c>
      <c r="K366" s="16">
        <f t="shared" si="22"/>
        <v>1.433566992579483E-2</v>
      </c>
      <c r="L366" s="16">
        <f t="shared" si="23"/>
        <v>1.4297028614249264E-2</v>
      </c>
      <c r="M366" s="16">
        <f t="shared" si="24"/>
        <v>1.433566992579483E-2</v>
      </c>
    </row>
    <row r="367" spans="1:13" x14ac:dyDescent="0.3">
      <c r="A367" t="s">
        <v>374</v>
      </c>
      <c r="B367" s="1">
        <v>0.99977460229494997</v>
      </c>
      <c r="C367" s="1">
        <v>0.99978311364494399</v>
      </c>
      <c r="D367" s="1">
        <v>0.99980586574418095</v>
      </c>
      <c r="E367" s="1">
        <v>1.00689728050314</v>
      </c>
      <c r="F367" s="1">
        <v>1.00689728050314</v>
      </c>
      <c r="G367" s="1">
        <v>1.00689728050314</v>
      </c>
      <c r="H367">
        <v>318</v>
      </c>
      <c r="I367">
        <v>318</v>
      </c>
      <c r="J367" s="16">
        <f t="shared" si="21"/>
        <v>7.0738876210201486E-3</v>
      </c>
      <c r="K367" s="16">
        <f t="shared" si="22"/>
        <v>7.0654345740621023E-3</v>
      </c>
      <c r="L367" s="16">
        <f t="shared" si="23"/>
        <v>7.0428383274761565E-3</v>
      </c>
      <c r="M367" s="16">
        <f t="shared" si="24"/>
        <v>7.0654345740621023E-3</v>
      </c>
    </row>
    <row r="368" spans="1:13" x14ac:dyDescent="0.3">
      <c r="A368" t="s">
        <v>375</v>
      </c>
      <c r="B368" s="1">
        <v>0.99780950286155401</v>
      </c>
      <c r="C368" s="1">
        <v>0.99493753562154796</v>
      </c>
      <c r="D368" s="1">
        <v>0.99774761138936996</v>
      </c>
      <c r="E368" s="1">
        <v>1.03361977530224</v>
      </c>
      <c r="F368" s="1">
        <v>1.03361977530224</v>
      </c>
      <c r="G368" s="1">
        <v>1.03361977530224</v>
      </c>
      <c r="H368">
        <v>581</v>
      </c>
      <c r="I368">
        <v>579</v>
      </c>
      <c r="J368" s="16">
        <f t="shared" si="21"/>
        <v>3.4645498563739031E-2</v>
      </c>
      <c r="K368" s="16">
        <f t="shared" si="22"/>
        <v>3.7424051479066391E-2</v>
      </c>
      <c r="L368" s="16">
        <f t="shared" si="23"/>
        <v>3.4705376938420816E-2</v>
      </c>
      <c r="M368" s="16">
        <f t="shared" si="24"/>
        <v>3.4705376938420816E-2</v>
      </c>
    </row>
    <row r="369" spans="1:13" x14ac:dyDescent="0.3">
      <c r="A369" t="s">
        <v>376</v>
      </c>
      <c r="B369" s="1">
        <v>0.99411019598708195</v>
      </c>
      <c r="C369" s="1">
        <v>0.98471106641139505</v>
      </c>
      <c r="D369" s="1">
        <v>1.1932771348184099</v>
      </c>
      <c r="E369" s="1">
        <v>0.95682585905649398</v>
      </c>
      <c r="F369" s="1">
        <v>0.95682585905649398</v>
      </c>
      <c r="G369" s="1">
        <v>0.95682585905649398</v>
      </c>
      <c r="H369">
        <v>1785</v>
      </c>
      <c r="I369">
        <v>1717</v>
      </c>
      <c r="J369" s="16">
        <f t="shared" si="21"/>
        <v>-3.8966690310139898E-2</v>
      </c>
      <c r="K369" s="16">
        <f t="shared" si="22"/>
        <v>-2.9143450807650722E-2</v>
      </c>
      <c r="L369" s="16">
        <f t="shared" si="23"/>
        <v>-0.24712049065550507</v>
      </c>
      <c r="M369" s="16">
        <f t="shared" si="24"/>
        <v>3.8966690310139898E-2</v>
      </c>
    </row>
    <row r="370" spans="1:13" x14ac:dyDescent="0.3">
      <c r="A370" t="s">
        <v>377</v>
      </c>
      <c r="B370" s="1">
        <v>0.99439263275021395</v>
      </c>
      <c r="C370" s="1">
        <v>0.994392632750147</v>
      </c>
      <c r="D370" s="1">
        <v>0.994392632755006</v>
      </c>
      <c r="E370" s="1">
        <v>0.96698129251700604</v>
      </c>
      <c r="F370" s="1">
        <v>0.96698129251700604</v>
      </c>
      <c r="G370" s="1">
        <v>0.96698129251700604</v>
      </c>
      <c r="H370">
        <v>147</v>
      </c>
      <c r="I370">
        <v>147</v>
      </c>
      <c r="J370" s="16">
        <f t="shared" si="21"/>
        <v>-2.8347332513390715E-2</v>
      </c>
      <c r="K370" s="16">
        <f t="shared" si="22"/>
        <v>-2.8347332513321482E-2</v>
      </c>
      <c r="L370" s="16">
        <f t="shared" si="23"/>
        <v>-2.83473325183464E-2</v>
      </c>
      <c r="M370" s="16">
        <f t="shared" si="24"/>
        <v>2.8347332513390715E-2</v>
      </c>
    </row>
    <row r="371" spans="1:13" x14ac:dyDescent="0.3">
      <c r="A371" t="s">
        <v>378</v>
      </c>
      <c r="B371" s="1">
        <v>0.96251096909636402</v>
      </c>
      <c r="C371" s="1">
        <v>0.94757369640704203</v>
      </c>
      <c r="D371" s="1">
        <v>0.94581584584811196</v>
      </c>
      <c r="E371" s="1">
        <v>0.97205197466467896</v>
      </c>
      <c r="F371" s="1">
        <v>0.97205197466467896</v>
      </c>
      <c r="G371" s="1">
        <v>0.97205197466467896</v>
      </c>
      <c r="H371">
        <v>774</v>
      </c>
      <c r="I371">
        <v>671</v>
      </c>
      <c r="J371" s="16">
        <f t="shared" si="21"/>
        <v>9.8153245062911655E-3</v>
      </c>
      <c r="K371" s="16">
        <f t="shared" si="22"/>
        <v>2.5182067312893436E-2</v>
      </c>
      <c r="L371" s="16">
        <f t="shared" si="23"/>
        <v>2.69904588441554E-2</v>
      </c>
      <c r="M371" s="16">
        <f t="shared" si="24"/>
        <v>2.5182067312893436E-2</v>
      </c>
    </row>
    <row r="372" spans="1:13" x14ac:dyDescent="0.3">
      <c r="A372" t="s">
        <v>379</v>
      </c>
      <c r="B372" s="1">
        <v>0.99636233910438299</v>
      </c>
      <c r="C372" s="1">
        <v>0.957128943091068</v>
      </c>
      <c r="D372" s="1">
        <v>1.1485891662454399</v>
      </c>
      <c r="E372" s="1">
        <v>0.98505727091633399</v>
      </c>
      <c r="F372" s="1">
        <v>0.98505727091633399</v>
      </c>
      <c r="G372" s="1">
        <v>0.98505727091633399</v>
      </c>
      <c r="H372">
        <v>275</v>
      </c>
      <c r="I372">
        <v>251</v>
      </c>
      <c r="J372" s="16">
        <f t="shared" si="21"/>
        <v>-1.1476559304549504E-2</v>
      </c>
      <c r="K372" s="16">
        <f t="shared" si="22"/>
        <v>2.835198383875296E-2</v>
      </c>
      <c r="L372" s="16">
        <f t="shared" si="23"/>
        <v>-0.16601257628095367</v>
      </c>
      <c r="M372" s="16">
        <f t="shared" si="24"/>
        <v>1.1476559304549504E-2</v>
      </c>
    </row>
    <row r="373" spans="1:13" x14ac:dyDescent="0.3">
      <c r="A373" t="s">
        <v>380</v>
      </c>
      <c r="B373" s="1">
        <v>1.0008908212458201</v>
      </c>
      <c r="C373" s="1">
        <v>1.0010065107977799</v>
      </c>
      <c r="D373" s="1">
        <v>0.99928318045442499</v>
      </c>
      <c r="E373" s="1">
        <v>1.0043443133448799</v>
      </c>
      <c r="F373" s="1">
        <v>1.0043443133448799</v>
      </c>
      <c r="G373" s="1">
        <v>1.0043443133448799</v>
      </c>
      <c r="H373">
        <v>578</v>
      </c>
      <c r="I373">
        <v>577</v>
      </c>
      <c r="J373" s="16">
        <f t="shared" si="21"/>
        <v>3.438553943277006E-3</v>
      </c>
      <c r="K373" s="16">
        <f t="shared" si="22"/>
        <v>3.3233648090103449E-3</v>
      </c>
      <c r="L373" s="16">
        <f t="shared" si="23"/>
        <v>5.0392408491857742E-3</v>
      </c>
      <c r="M373" s="16">
        <f t="shared" si="24"/>
        <v>3.438553943277006E-3</v>
      </c>
    </row>
    <row r="374" spans="1:13" x14ac:dyDescent="0.3">
      <c r="A374" t="s">
        <v>381</v>
      </c>
      <c r="B374" s="1">
        <v>0.87414718608614395</v>
      </c>
      <c r="C374" s="1">
        <v>0.87609815045741601</v>
      </c>
      <c r="D374" s="1">
        <v>0.87135115412713704</v>
      </c>
      <c r="E374" s="1">
        <v>1.0391498323427999</v>
      </c>
      <c r="F374" s="1">
        <v>1.0391498323427999</v>
      </c>
      <c r="G374" s="1">
        <v>1.0391498323427999</v>
      </c>
      <c r="H374">
        <v>2375</v>
      </c>
      <c r="I374">
        <v>2322</v>
      </c>
      <c r="J374" s="16">
        <f t="shared" si="21"/>
        <v>0.15878619340644234</v>
      </c>
      <c r="K374" s="16">
        <f t="shared" si="22"/>
        <v>0.15690873135953659</v>
      </c>
      <c r="L374" s="16">
        <f t="shared" si="23"/>
        <v>0.16147688523160786</v>
      </c>
      <c r="M374" s="16">
        <f t="shared" si="24"/>
        <v>0.15878619340644234</v>
      </c>
    </row>
    <row r="375" spans="1:13" x14ac:dyDescent="0.3">
      <c r="A375" t="s">
        <v>382</v>
      </c>
      <c r="B375" s="1">
        <v>0.95373008422622396</v>
      </c>
      <c r="C375" s="1">
        <v>0.89803857986610403</v>
      </c>
      <c r="D375" s="1">
        <v>0.89787579427002195</v>
      </c>
      <c r="E375" s="1">
        <v>1.0051915592281799</v>
      </c>
      <c r="F375" s="1">
        <v>1.0051915592281799</v>
      </c>
      <c r="G375" s="1">
        <v>1.0051915592281799</v>
      </c>
      <c r="H375">
        <v>809</v>
      </c>
      <c r="I375">
        <v>596</v>
      </c>
      <c r="J375" s="16">
        <f t="shared" si="21"/>
        <v>5.1195689547442906E-2</v>
      </c>
      <c r="K375" s="16">
        <f t="shared" si="22"/>
        <v>0.10659956142523877</v>
      </c>
      <c r="L375" s="16">
        <f t="shared" si="23"/>
        <v>0.1067615062750414</v>
      </c>
      <c r="M375" s="16">
        <f t="shared" si="24"/>
        <v>0.10659956142523877</v>
      </c>
    </row>
    <row r="376" spans="1:13" x14ac:dyDescent="0.3">
      <c r="A376" t="s">
        <v>383</v>
      </c>
      <c r="B376" s="1">
        <v>0.96337539109920101</v>
      </c>
      <c r="C376" s="1">
        <v>0.96403185536749103</v>
      </c>
      <c r="D376" s="1">
        <v>0.96470034043387398</v>
      </c>
      <c r="E376" s="1">
        <v>1.0096341681635299</v>
      </c>
      <c r="F376" s="1">
        <v>1.0096341681635299</v>
      </c>
      <c r="G376" s="1">
        <v>1.0096341681635299</v>
      </c>
      <c r="H376">
        <v>1504</v>
      </c>
      <c r="I376">
        <v>1492</v>
      </c>
      <c r="J376" s="16">
        <f t="shared" si="21"/>
        <v>4.5817364866396239E-2</v>
      </c>
      <c r="K376" s="16">
        <f t="shared" si="22"/>
        <v>4.5167164735507144E-2</v>
      </c>
      <c r="L376" s="16">
        <f t="shared" si="23"/>
        <v>4.4505058511825263E-2</v>
      </c>
      <c r="M376" s="16">
        <f t="shared" si="24"/>
        <v>4.5167164735507144E-2</v>
      </c>
    </row>
    <row r="377" spans="1:13" x14ac:dyDescent="0.3">
      <c r="A377" t="s">
        <v>384</v>
      </c>
      <c r="B377" s="1">
        <v>0.97984764802073199</v>
      </c>
      <c r="C377" s="1">
        <v>0.98491320829527496</v>
      </c>
      <c r="D377" s="1">
        <v>0.97605942579708205</v>
      </c>
      <c r="E377" s="1">
        <v>0.97817203795811503</v>
      </c>
      <c r="F377" s="1">
        <v>0.97817203795811503</v>
      </c>
      <c r="G377" s="1">
        <v>0.97817203795811503</v>
      </c>
      <c r="H377">
        <v>799</v>
      </c>
      <c r="I377">
        <v>764</v>
      </c>
      <c r="J377" s="16">
        <f t="shared" si="21"/>
        <v>-1.71300139197877E-3</v>
      </c>
      <c r="K377" s="16">
        <f t="shared" si="22"/>
        <v>-6.8915999185907868E-3</v>
      </c>
      <c r="L377" s="16">
        <f t="shared" si="23"/>
        <v>2.1597552159055276E-3</v>
      </c>
      <c r="M377" s="16">
        <f t="shared" si="24"/>
        <v>1.71300139197877E-3</v>
      </c>
    </row>
    <row r="378" spans="1:13" x14ac:dyDescent="0.3">
      <c r="A378" t="s">
        <v>385</v>
      </c>
      <c r="B378" s="1">
        <v>0.98960942871795099</v>
      </c>
      <c r="C378" s="1">
        <v>0.99336352187826404</v>
      </c>
      <c r="D378" s="1">
        <v>0.99716702802469903</v>
      </c>
      <c r="E378" s="1">
        <v>1.0493156355953901</v>
      </c>
      <c r="F378" s="1">
        <v>1.0493156355953901</v>
      </c>
      <c r="G378" s="1">
        <v>1.0493156355953901</v>
      </c>
      <c r="H378">
        <v>790</v>
      </c>
      <c r="I378">
        <v>781</v>
      </c>
      <c r="J378" s="16">
        <f t="shared" si="21"/>
        <v>5.6900140293403068E-2</v>
      </c>
      <c r="K378" s="16">
        <f t="shared" si="22"/>
        <v>5.3322481643360217E-2</v>
      </c>
      <c r="L378" s="16">
        <f t="shared" si="23"/>
        <v>4.9697732313977699E-2</v>
      </c>
      <c r="M378" s="16">
        <f t="shared" si="24"/>
        <v>5.3322481643360217E-2</v>
      </c>
    </row>
    <row r="379" spans="1:13" x14ac:dyDescent="0.3">
      <c r="A379" t="s">
        <v>386</v>
      </c>
      <c r="B379" s="1">
        <v>0.93409424515994</v>
      </c>
      <c r="C379" s="1">
        <v>0.940865868379959</v>
      </c>
      <c r="D379" s="1">
        <v>0.95912838743419204</v>
      </c>
      <c r="E379" s="1">
        <v>1.0049343874015699</v>
      </c>
      <c r="F379" s="1">
        <v>1.0049343874015699</v>
      </c>
      <c r="G379" s="1">
        <v>1.0049343874015699</v>
      </c>
      <c r="H379">
        <v>606</v>
      </c>
      <c r="I379">
        <v>508</v>
      </c>
      <c r="J379" s="16">
        <f t="shared" si="21"/>
        <v>7.0492305895511503E-2</v>
      </c>
      <c r="K379" s="16">
        <f t="shared" si="22"/>
        <v>6.3753932420673814E-2</v>
      </c>
      <c r="L379" s="16">
        <f t="shared" si="23"/>
        <v>4.5581085234646164E-2</v>
      </c>
      <c r="M379" s="16">
        <f t="shared" si="24"/>
        <v>6.3753932420673814E-2</v>
      </c>
    </row>
    <row r="380" spans="1:13" x14ac:dyDescent="0.3">
      <c r="A380" t="s">
        <v>387</v>
      </c>
      <c r="B380" s="1">
        <v>0.99733015999668295</v>
      </c>
      <c r="C380" s="1">
        <v>0.99734461705578104</v>
      </c>
      <c r="D380" s="1">
        <v>0.99734595292096195</v>
      </c>
      <c r="E380" s="1">
        <v>1.0034774172897101</v>
      </c>
      <c r="F380" s="1">
        <v>1.0034774172897101</v>
      </c>
      <c r="G380" s="1">
        <v>1.0034774172897101</v>
      </c>
      <c r="H380">
        <v>214</v>
      </c>
      <c r="I380">
        <v>214</v>
      </c>
      <c r="J380" s="16">
        <f t="shared" si="21"/>
        <v>6.1259547919177227E-3</v>
      </c>
      <c r="K380" s="16">
        <f t="shared" si="22"/>
        <v>6.1115478318317347E-3</v>
      </c>
      <c r="L380" s="16">
        <f t="shared" si="23"/>
        <v>6.1102165959136152E-3</v>
      </c>
      <c r="M380" s="16">
        <f t="shared" si="24"/>
        <v>6.1115478318317347E-3</v>
      </c>
    </row>
    <row r="381" spans="1:13" x14ac:dyDescent="0.3">
      <c r="A381" t="s">
        <v>388</v>
      </c>
      <c r="B381" s="1">
        <v>0.99961445277083505</v>
      </c>
      <c r="C381" s="1">
        <v>0.99959661445197501</v>
      </c>
      <c r="D381" s="1">
        <v>0.99959962198277896</v>
      </c>
      <c r="E381" s="1">
        <v>1.0044033568047299</v>
      </c>
      <c r="F381" s="1">
        <v>1.0044033568047299</v>
      </c>
      <c r="G381" s="1">
        <v>1.0044033568047299</v>
      </c>
      <c r="H381">
        <v>338</v>
      </c>
      <c r="I381">
        <v>338</v>
      </c>
      <c r="J381" s="16">
        <f t="shared" si="21"/>
        <v>4.7679092283498805E-3</v>
      </c>
      <c r="K381" s="16">
        <f t="shared" si="22"/>
        <v>4.7856693430878379E-3</v>
      </c>
      <c r="L381" s="16">
        <f t="shared" si="23"/>
        <v>4.7826749974560958E-3</v>
      </c>
      <c r="M381" s="16">
        <f t="shared" si="24"/>
        <v>4.7826749974560958E-3</v>
      </c>
    </row>
    <row r="382" spans="1:13" x14ac:dyDescent="0.3">
      <c r="A382" t="s">
        <v>389</v>
      </c>
      <c r="B382" s="1">
        <v>1.6153025059094599</v>
      </c>
      <c r="C382" s="1">
        <v>1.4532400702847299</v>
      </c>
      <c r="D382" s="1">
        <v>2.04144526233793</v>
      </c>
      <c r="E382" s="1">
        <v>1.00340087120115</v>
      </c>
      <c r="F382" s="1">
        <v>1.00340087120115</v>
      </c>
      <c r="G382" s="1">
        <v>1.00340087120115</v>
      </c>
      <c r="H382">
        <v>892</v>
      </c>
      <c r="I382">
        <v>691</v>
      </c>
      <c r="J382" s="16">
        <f t="shared" si="21"/>
        <v>-0.60982768928216635</v>
      </c>
      <c r="K382" s="16">
        <f t="shared" si="22"/>
        <v>-0.44831453907857083</v>
      </c>
      <c r="L382" s="16">
        <f t="shared" si="23"/>
        <v>-1.0345261011126681</v>
      </c>
      <c r="M382" s="16">
        <f t="shared" si="24"/>
        <v>0.60982768928216635</v>
      </c>
    </row>
    <row r="383" spans="1:13" x14ac:dyDescent="0.3">
      <c r="A383" t="s">
        <v>390</v>
      </c>
      <c r="B383" s="1">
        <v>0.99280798257593095</v>
      </c>
      <c r="C383" s="1">
        <v>1.0013559017593301</v>
      </c>
      <c r="D383" s="1">
        <v>0.98428908205304999</v>
      </c>
      <c r="E383" s="1">
        <v>1.00136826899563</v>
      </c>
      <c r="F383" s="1">
        <v>1.00136826899563</v>
      </c>
      <c r="G383" s="1">
        <v>1.00136826899563</v>
      </c>
      <c r="H383">
        <v>235</v>
      </c>
      <c r="I383">
        <v>229</v>
      </c>
      <c r="J383" s="16">
        <f t="shared" si="21"/>
        <v>8.5485896495252726E-3</v>
      </c>
      <c r="K383" s="16">
        <f t="shared" si="22"/>
        <v>1.2350337715755162E-5</v>
      </c>
      <c r="L383" s="16">
        <f t="shared" si="23"/>
        <v>1.705584995189674E-2</v>
      </c>
      <c r="M383" s="16">
        <f t="shared" si="24"/>
        <v>8.5485896495252726E-3</v>
      </c>
    </row>
    <row r="384" spans="1:13" x14ac:dyDescent="0.3">
      <c r="A384" t="s">
        <v>391</v>
      </c>
      <c r="B384" s="1">
        <v>0.98811491073322599</v>
      </c>
      <c r="C384" s="1">
        <v>0.97787357000114705</v>
      </c>
      <c r="D384" s="1">
        <v>0.98238347404209503</v>
      </c>
      <c r="E384" s="1">
        <v>1.00672331601382</v>
      </c>
      <c r="F384" s="1">
        <v>1.00672331601382</v>
      </c>
      <c r="G384" s="1">
        <v>1.00672331601382</v>
      </c>
      <c r="H384">
        <v>882</v>
      </c>
      <c r="I384">
        <v>868</v>
      </c>
      <c r="J384" s="16">
        <f t="shared" si="21"/>
        <v>1.8484130629133646E-2</v>
      </c>
      <c r="K384" s="16">
        <f t="shared" si="22"/>
        <v>2.865707543846828E-2</v>
      </c>
      <c r="L384" s="16">
        <f t="shared" si="23"/>
        <v>2.4177290407954428E-2</v>
      </c>
      <c r="M384" s="16">
        <f t="shared" si="24"/>
        <v>2.4177290407954428E-2</v>
      </c>
    </row>
    <row r="385" spans="1:13" x14ac:dyDescent="0.3">
      <c r="A385" t="s">
        <v>392</v>
      </c>
      <c r="B385" s="1">
        <v>0.97000147771779699</v>
      </c>
      <c r="C385" s="1">
        <v>0.97562647677320602</v>
      </c>
      <c r="D385" s="1">
        <v>0.98034611379283199</v>
      </c>
      <c r="E385" s="1">
        <v>1.00724032306338</v>
      </c>
      <c r="F385" s="1">
        <v>1.00724032306338</v>
      </c>
      <c r="G385" s="1">
        <v>1.00724032306338</v>
      </c>
      <c r="H385">
        <v>1163</v>
      </c>
      <c r="I385">
        <v>1136</v>
      </c>
      <c r="J385" s="16">
        <f t="shared" si="21"/>
        <v>3.697116218731817E-2</v>
      </c>
      <c r="K385" s="16">
        <f t="shared" si="22"/>
        <v>3.1386597186682193E-2</v>
      </c>
      <c r="L385" s="16">
        <f t="shared" si="23"/>
        <v>2.6700886228177418E-2</v>
      </c>
      <c r="M385" s="16">
        <f t="shared" si="24"/>
        <v>3.1386597186682193E-2</v>
      </c>
    </row>
    <row r="386" spans="1:13" x14ac:dyDescent="0.3">
      <c r="A386" t="s">
        <v>393</v>
      </c>
      <c r="B386" s="1">
        <v>0.96027039778260803</v>
      </c>
      <c r="C386" s="1">
        <v>0.98845589323130201</v>
      </c>
      <c r="D386" s="1">
        <v>0.975765789517404</v>
      </c>
      <c r="E386" s="1">
        <v>1.01095764992657</v>
      </c>
      <c r="F386" s="1">
        <v>1.01095764992657</v>
      </c>
      <c r="G386" s="1">
        <v>1.01095764992657</v>
      </c>
      <c r="H386">
        <v>710</v>
      </c>
      <c r="I386">
        <v>681</v>
      </c>
      <c r="J386" s="16">
        <f t="shared" si="21"/>
        <v>5.0137859036571503E-2</v>
      </c>
      <c r="K386" s="16">
        <f t="shared" si="22"/>
        <v>2.225786282630374E-2</v>
      </c>
      <c r="L386" s="16">
        <f t="shared" si="23"/>
        <v>3.4810420012868125E-2</v>
      </c>
      <c r="M386" s="16">
        <f t="shared" si="24"/>
        <v>3.4810420012868125E-2</v>
      </c>
    </row>
    <row r="387" spans="1:13" x14ac:dyDescent="0.3">
      <c r="A387" t="s">
        <v>394</v>
      </c>
      <c r="B387" s="1">
        <v>0.93997884437074597</v>
      </c>
      <c r="C387" s="1">
        <v>0.98067478474852499</v>
      </c>
      <c r="D387" s="1">
        <v>0.94859314401700101</v>
      </c>
      <c r="E387" s="1">
        <v>1.0056085966587101</v>
      </c>
      <c r="F387" s="1">
        <v>1.0056085966587101</v>
      </c>
      <c r="G387" s="1">
        <v>1.0056085966587101</v>
      </c>
      <c r="H387">
        <v>468</v>
      </c>
      <c r="I387">
        <v>419</v>
      </c>
      <c r="J387" s="16">
        <f t="shared" ref="J387:J450" si="25">(E387-B387)/E387</f>
        <v>6.5263714437236386E-2</v>
      </c>
      <c r="K387" s="16">
        <f t="shared" ref="K387:K450" si="26">(F387-C387)/F387</f>
        <v>2.4794748168453919E-2</v>
      </c>
      <c r="L387" s="16">
        <f t="shared" ref="L387:L450" si="27">(G387-D387)/G387</f>
        <v>5.6697459460024198E-2</v>
      </c>
      <c r="M387" s="16">
        <f t="shared" ref="M387:M450" si="28">ABS(MEDIAN(J387:L387))</f>
        <v>5.6697459460024198E-2</v>
      </c>
    </row>
    <row r="388" spans="1:13" x14ac:dyDescent="0.3">
      <c r="A388" t="s">
        <v>395</v>
      </c>
      <c r="B388" s="1">
        <v>0.99143390482910898</v>
      </c>
      <c r="C388" s="1">
        <v>0.93979727828263204</v>
      </c>
      <c r="D388" s="1">
        <v>0.92339124605577705</v>
      </c>
      <c r="E388" s="1">
        <v>1.00476351756756</v>
      </c>
      <c r="F388" s="1">
        <v>1.00476351756756</v>
      </c>
      <c r="G388" s="1">
        <v>1.00476351756756</v>
      </c>
      <c r="H388">
        <v>427</v>
      </c>
      <c r="I388">
        <v>370</v>
      </c>
      <c r="J388" s="16">
        <f t="shared" si="25"/>
        <v>1.3266417923613289E-2</v>
      </c>
      <c r="K388" s="16">
        <f t="shared" si="26"/>
        <v>6.4658238629329651E-2</v>
      </c>
      <c r="L388" s="16">
        <f t="shared" si="27"/>
        <v>8.0986490939457798E-2</v>
      </c>
      <c r="M388" s="16">
        <f t="shared" si="28"/>
        <v>6.4658238629329651E-2</v>
      </c>
    </row>
    <row r="389" spans="1:13" x14ac:dyDescent="0.3">
      <c r="A389" t="s">
        <v>396</v>
      </c>
      <c r="B389" s="1">
        <v>1.0018001263454599</v>
      </c>
      <c r="C389" s="1">
        <v>1.0017832871485399</v>
      </c>
      <c r="D389" s="1">
        <v>1.0018608339008399</v>
      </c>
      <c r="E389" s="1">
        <v>1.0020668443271701</v>
      </c>
      <c r="F389" s="1">
        <v>1.0020668443271701</v>
      </c>
      <c r="G389" s="1">
        <v>1.0020668443271701</v>
      </c>
      <c r="H389">
        <v>379</v>
      </c>
      <c r="I389">
        <v>379</v>
      </c>
      <c r="J389" s="16">
        <f t="shared" si="25"/>
        <v>2.6616785419067597E-4</v>
      </c>
      <c r="K389" s="16">
        <f t="shared" si="26"/>
        <v>2.8297231889809536E-4</v>
      </c>
      <c r="L389" s="16">
        <f t="shared" si="27"/>
        <v>2.0558551307871698E-4</v>
      </c>
      <c r="M389" s="16">
        <f t="shared" si="28"/>
        <v>2.6616785419067597E-4</v>
      </c>
    </row>
    <row r="390" spans="1:13" x14ac:dyDescent="0.3">
      <c r="A390" t="s">
        <v>397</v>
      </c>
      <c r="B390" s="1">
        <v>0.92043230676701604</v>
      </c>
      <c r="C390" s="1">
        <v>1.3374822741747501</v>
      </c>
      <c r="D390" s="1">
        <v>1.1943070577992401</v>
      </c>
      <c r="E390" s="1">
        <v>1.02348307960088</v>
      </c>
      <c r="F390" s="1">
        <v>1.02348307960088</v>
      </c>
      <c r="G390" s="1">
        <v>1.02348307960088</v>
      </c>
      <c r="H390">
        <v>551</v>
      </c>
      <c r="I390">
        <v>451</v>
      </c>
      <c r="J390" s="16">
        <f t="shared" si="25"/>
        <v>0.10068634732491125</v>
      </c>
      <c r="K390" s="16">
        <f t="shared" si="26"/>
        <v>-0.30679470997832026</v>
      </c>
      <c r="L390" s="16">
        <f t="shared" si="27"/>
        <v>-0.16690454547130859</v>
      </c>
      <c r="M390" s="16">
        <f t="shared" si="28"/>
        <v>0.16690454547130859</v>
      </c>
    </row>
    <row r="391" spans="1:13" x14ac:dyDescent="0.3">
      <c r="A391" t="s">
        <v>398</v>
      </c>
      <c r="B391" s="1">
        <v>1.8801822649525901</v>
      </c>
      <c r="C391" s="1">
        <v>3.5558465024808799</v>
      </c>
      <c r="D391" s="1">
        <v>1.6800117815839199</v>
      </c>
      <c r="E391" s="1">
        <v>1.02861291433497</v>
      </c>
      <c r="F391" s="1">
        <v>1.02861291433497</v>
      </c>
      <c r="G391" s="1">
        <v>1.02861291433497</v>
      </c>
      <c r="H391">
        <v>2552</v>
      </c>
      <c r="I391">
        <v>2030</v>
      </c>
      <c r="J391" s="16">
        <f t="shared" si="25"/>
        <v>-0.8278812551835264</v>
      </c>
      <c r="K391" s="16">
        <f t="shared" si="26"/>
        <v>-2.4569335587039989</v>
      </c>
      <c r="L391" s="16">
        <f t="shared" si="27"/>
        <v>-0.63327891199003594</v>
      </c>
      <c r="M391" s="16">
        <f t="shared" si="28"/>
        <v>0.8278812551835264</v>
      </c>
    </row>
    <row r="392" spans="1:13" x14ac:dyDescent="0.3">
      <c r="A392" t="s">
        <v>399</v>
      </c>
      <c r="B392" s="1">
        <v>1.0014523475617201</v>
      </c>
      <c r="C392" s="1">
        <v>1.0014672829742799</v>
      </c>
      <c r="D392" s="1">
        <v>1.00144685921792</v>
      </c>
      <c r="E392" s="1">
        <v>1.0087037111111099</v>
      </c>
      <c r="F392" s="1">
        <v>1.0087037111111099</v>
      </c>
      <c r="G392" s="1">
        <v>1.0087037111111099</v>
      </c>
      <c r="H392">
        <v>405</v>
      </c>
      <c r="I392">
        <v>405</v>
      </c>
      <c r="J392" s="16">
        <f t="shared" si="25"/>
        <v>7.1887943600428333E-3</v>
      </c>
      <c r="K392" s="16">
        <f t="shared" si="26"/>
        <v>7.1739878193358879E-3</v>
      </c>
      <c r="L392" s="16">
        <f t="shared" si="27"/>
        <v>7.1942353470637408E-3</v>
      </c>
      <c r="M392" s="16">
        <f t="shared" si="28"/>
        <v>7.1887943600428333E-3</v>
      </c>
    </row>
    <row r="393" spans="1:13" x14ac:dyDescent="0.3">
      <c r="A393" t="s">
        <v>400</v>
      </c>
      <c r="B393" s="1">
        <v>1.0000897895274501</v>
      </c>
      <c r="C393" s="1">
        <v>1.00009202967969</v>
      </c>
      <c r="D393" s="1">
        <v>1.0000894982319</v>
      </c>
      <c r="E393" s="1">
        <v>1.0060256461538399</v>
      </c>
      <c r="F393" s="1">
        <v>1.0060256461538399</v>
      </c>
      <c r="G393" s="1">
        <v>1.0060256461538399</v>
      </c>
      <c r="H393">
        <v>273</v>
      </c>
      <c r="I393">
        <v>273</v>
      </c>
      <c r="J393" s="16">
        <f t="shared" si="25"/>
        <v>5.900303485386638E-3</v>
      </c>
      <c r="K393" s="16">
        <f t="shared" si="26"/>
        <v>5.8980767506622359E-3</v>
      </c>
      <c r="L393" s="16">
        <f t="shared" si="27"/>
        <v>5.9005930362059826E-3</v>
      </c>
      <c r="M393" s="16">
        <f t="shared" si="28"/>
        <v>5.900303485386638E-3</v>
      </c>
    </row>
    <row r="394" spans="1:13" x14ac:dyDescent="0.3">
      <c r="A394" t="s">
        <v>401</v>
      </c>
      <c r="B394" s="1">
        <v>0.97962054062537296</v>
      </c>
      <c r="C394" s="1">
        <v>0.96813135009483098</v>
      </c>
      <c r="D394" s="1">
        <v>0.97487545154492405</v>
      </c>
      <c r="E394" s="1">
        <v>1.0144584062588899</v>
      </c>
      <c r="F394" s="1">
        <v>1.0144584062588899</v>
      </c>
      <c r="G394" s="1">
        <v>1.0144584062588899</v>
      </c>
      <c r="H394">
        <v>744</v>
      </c>
      <c r="I394">
        <v>703</v>
      </c>
      <c r="J394" s="16">
        <f t="shared" si="25"/>
        <v>3.4341344522927988E-2</v>
      </c>
      <c r="K394" s="16">
        <f t="shared" si="26"/>
        <v>4.5666787202151976E-2</v>
      </c>
      <c r="L394" s="16">
        <f t="shared" si="27"/>
        <v>3.9018804979831095E-2</v>
      </c>
      <c r="M394" s="16">
        <f t="shared" si="28"/>
        <v>3.9018804979831095E-2</v>
      </c>
    </row>
    <row r="395" spans="1:13" x14ac:dyDescent="0.3">
      <c r="A395" t="s">
        <v>402</v>
      </c>
      <c r="B395" s="1">
        <v>0.98010855453930201</v>
      </c>
      <c r="C395" s="1">
        <v>0.97578959453030201</v>
      </c>
      <c r="D395" s="1">
        <v>0.97578859291916997</v>
      </c>
      <c r="E395" s="1">
        <v>1.00687135087719</v>
      </c>
      <c r="F395" s="1">
        <v>1.00687135087719</v>
      </c>
      <c r="G395" s="1">
        <v>1.00687135087719</v>
      </c>
      <c r="H395">
        <v>463</v>
      </c>
      <c r="I395">
        <v>456</v>
      </c>
      <c r="J395" s="16">
        <f t="shared" si="25"/>
        <v>2.6580154768106354E-2</v>
      </c>
      <c r="K395" s="16">
        <f t="shared" si="26"/>
        <v>3.0869640217500969E-2</v>
      </c>
      <c r="L395" s="16">
        <f t="shared" si="27"/>
        <v>3.0870634993180265E-2</v>
      </c>
      <c r="M395" s="16">
        <f t="shared" si="28"/>
        <v>3.0869640217500969E-2</v>
      </c>
    </row>
    <row r="396" spans="1:13" x14ac:dyDescent="0.3">
      <c r="A396" t="s">
        <v>403</v>
      </c>
      <c r="B396" s="1">
        <v>0.98234937298388103</v>
      </c>
      <c r="C396" s="1">
        <v>0.99761262239555504</v>
      </c>
      <c r="D396" s="1">
        <v>0.98988579528856302</v>
      </c>
      <c r="E396" s="1">
        <v>0.96149000563063003</v>
      </c>
      <c r="F396" s="1">
        <v>0.96149000563063003</v>
      </c>
      <c r="G396" s="1">
        <v>0.96149000563063003</v>
      </c>
      <c r="H396">
        <v>909</v>
      </c>
      <c r="I396">
        <v>888</v>
      </c>
      <c r="J396" s="16">
        <f t="shared" si="25"/>
        <v>-2.1694835340040363E-2</v>
      </c>
      <c r="K396" s="16">
        <f t="shared" si="26"/>
        <v>-3.7569414714022545E-2</v>
      </c>
      <c r="L396" s="16">
        <f t="shared" si="27"/>
        <v>-2.9533109540029513E-2</v>
      </c>
      <c r="M396" s="16">
        <f t="shared" si="28"/>
        <v>2.9533109540029513E-2</v>
      </c>
    </row>
    <row r="397" spans="1:13" x14ac:dyDescent="0.3">
      <c r="A397" t="s">
        <v>404</v>
      </c>
      <c r="B397" s="1">
        <v>1.16317883016382</v>
      </c>
      <c r="C397" s="1">
        <v>1.1104854288538499</v>
      </c>
      <c r="D397" s="1">
        <v>1.29123982326998</v>
      </c>
      <c r="E397" s="1">
        <v>0.97937553602058303</v>
      </c>
      <c r="F397" s="1">
        <v>0.97937553602058303</v>
      </c>
      <c r="G397" s="1">
        <v>0.97937553602058303</v>
      </c>
      <c r="H397">
        <v>1371</v>
      </c>
      <c r="I397">
        <v>1166</v>
      </c>
      <c r="J397" s="16">
        <f t="shared" si="25"/>
        <v>-0.18767396916005263</v>
      </c>
      <c r="K397" s="16">
        <f t="shared" si="26"/>
        <v>-0.13387090856485456</v>
      </c>
      <c r="L397" s="16">
        <f t="shared" si="27"/>
        <v>-0.31843177185798388</v>
      </c>
      <c r="M397" s="16">
        <f t="shared" si="28"/>
        <v>0.18767396916005263</v>
      </c>
    </row>
    <row r="398" spans="1:13" x14ac:dyDescent="0.3">
      <c r="A398" t="s">
        <v>405</v>
      </c>
      <c r="B398" s="1">
        <v>0.98635020990509104</v>
      </c>
      <c r="C398" s="1">
        <v>0.98852091938780395</v>
      </c>
      <c r="D398" s="1">
        <v>0.98962997705057798</v>
      </c>
      <c r="E398" s="1">
        <v>1.00814528716814</v>
      </c>
      <c r="F398" s="1">
        <v>1.00814528716814</v>
      </c>
      <c r="G398" s="1">
        <v>1.00814528716814</v>
      </c>
      <c r="H398">
        <v>908</v>
      </c>
      <c r="I398">
        <v>904</v>
      </c>
      <c r="J398" s="16">
        <f t="shared" si="25"/>
        <v>2.1618984426610678E-2</v>
      </c>
      <c r="K398" s="16">
        <f t="shared" si="26"/>
        <v>1.9465813142330413E-2</v>
      </c>
      <c r="L398" s="16">
        <f t="shared" si="27"/>
        <v>1.8365716085993081E-2</v>
      </c>
      <c r="M398" s="16">
        <f t="shared" si="28"/>
        <v>1.9465813142330413E-2</v>
      </c>
    </row>
    <row r="399" spans="1:13" x14ac:dyDescent="0.3">
      <c r="A399" t="s">
        <v>406</v>
      </c>
      <c r="B399" s="1">
        <v>0.99578687561952095</v>
      </c>
      <c r="C399" s="1">
        <v>0.99573379889784996</v>
      </c>
      <c r="D399" s="1">
        <v>0.99570446007597602</v>
      </c>
      <c r="E399" s="1">
        <v>1.00229392819956</v>
      </c>
      <c r="F399" s="1">
        <v>1.00229392819956</v>
      </c>
      <c r="G399" s="1">
        <v>1.00229392819956</v>
      </c>
      <c r="H399">
        <v>461</v>
      </c>
      <c r="I399">
        <v>461</v>
      </c>
      <c r="J399" s="16">
        <f t="shared" si="25"/>
        <v>6.4921600310677077E-3</v>
      </c>
      <c r="K399" s="16">
        <f t="shared" si="26"/>
        <v>6.5451152772062621E-3</v>
      </c>
      <c r="L399" s="16">
        <f t="shared" si="27"/>
        <v>6.5743869519600436E-3</v>
      </c>
      <c r="M399" s="16">
        <f t="shared" si="28"/>
        <v>6.5451152772062621E-3</v>
      </c>
    </row>
    <row r="400" spans="1:13" x14ac:dyDescent="0.3">
      <c r="A400" t="s">
        <v>407</v>
      </c>
      <c r="B400" s="1">
        <v>0.95713003501401095</v>
      </c>
      <c r="C400" s="1">
        <v>0.92988145938634104</v>
      </c>
      <c r="D400" s="1">
        <v>0.97121758970921002</v>
      </c>
      <c r="E400" s="1">
        <v>1.0065487729903499</v>
      </c>
      <c r="F400" s="1">
        <v>1.0065487729903499</v>
      </c>
      <c r="G400" s="1">
        <v>1.0065487729903499</v>
      </c>
      <c r="H400">
        <v>697</v>
      </c>
      <c r="I400">
        <v>622</v>
      </c>
      <c r="J400" s="16">
        <f t="shared" si="25"/>
        <v>4.9097211483871923E-2</v>
      </c>
      <c r="K400" s="16">
        <f t="shared" si="26"/>
        <v>7.6168503366447343E-2</v>
      </c>
      <c r="L400" s="16">
        <f t="shared" si="27"/>
        <v>3.5101312752262095E-2</v>
      </c>
      <c r="M400" s="16">
        <f t="shared" si="28"/>
        <v>4.9097211483871923E-2</v>
      </c>
    </row>
    <row r="401" spans="1:13" x14ac:dyDescent="0.3">
      <c r="A401" t="s">
        <v>408</v>
      </c>
      <c r="B401" s="1">
        <v>0.88899316013563601</v>
      </c>
      <c r="C401" s="1">
        <v>0.88371412047553699</v>
      </c>
      <c r="D401" s="1">
        <v>0.90975556466095697</v>
      </c>
      <c r="E401" s="1">
        <v>1.0038340896084299</v>
      </c>
      <c r="F401" s="1">
        <v>1.0038340896084299</v>
      </c>
      <c r="G401" s="1">
        <v>1.0038340896084299</v>
      </c>
      <c r="H401">
        <v>968</v>
      </c>
      <c r="I401">
        <v>664</v>
      </c>
      <c r="J401" s="16">
        <f t="shared" si="25"/>
        <v>0.11440230080011569</v>
      </c>
      <c r="K401" s="16">
        <f t="shared" si="26"/>
        <v>0.11966117745587684</v>
      </c>
      <c r="L401" s="16">
        <f t="shared" si="27"/>
        <v>9.3719197147579009E-2</v>
      </c>
      <c r="M401" s="16">
        <f t="shared" si="28"/>
        <v>0.11440230080011569</v>
      </c>
    </row>
    <row r="402" spans="1:13" x14ac:dyDescent="0.3">
      <c r="A402" t="s">
        <v>409</v>
      </c>
      <c r="B402" s="1">
        <v>1.3193779143062401</v>
      </c>
      <c r="C402" s="1">
        <v>1.06664518082244</v>
      </c>
      <c r="D402" s="1">
        <v>1.0948656982090199</v>
      </c>
      <c r="E402" s="1">
        <v>1.0235301869062901</v>
      </c>
      <c r="F402" s="1">
        <v>1.0235301869062901</v>
      </c>
      <c r="G402" s="1">
        <v>1.0235301869062901</v>
      </c>
      <c r="H402">
        <v>819</v>
      </c>
      <c r="I402">
        <v>779</v>
      </c>
      <c r="J402" s="16">
        <f t="shared" si="25"/>
        <v>-0.28904641131706704</v>
      </c>
      <c r="K402" s="16">
        <f t="shared" si="26"/>
        <v>-4.2123812729421083E-2</v>
      </c>
      <c r="L402" s="16">
        <f t="shared" si="27"/>
        <v>-6.9695561709174125E-2</v>
      </c>
      <c r="M402" s="16">
        <f t="shared" si="28"/>
        <v>6.9695561709174125E-2</v>
      </c>
    </row>
    <row r="403" spans="1:13" x14ac:dyDescent="0.3">
      <c r="A403" t="s">
        <v>410</v>
      </c>
      <c r="B403" s="1">
        <v>0.99332758113381703</v>
      </c>
      <c r="C403" s="1">
        <v>0.99328521100923906</v>
      </c>
      <c r="D403" s="1">
        <v>0.993274804189204</v>
      </c>
      <c r="E403" s="1">
        <v>1.01369362067669</v>
      </c>
      <c r="F403" s="1">
        <v>1.01369362067669</v>
      </c>
      <c r="G403" s="1">
        <v>1.01369362067669</v>
      </c>
      <c r="H403">
        <v>532</v>
      </c>
      <c r="I403">
        <v>532</v>
      </c>
      <c r="J403" s="16">
        <f t="shared" si="25"/>
        <v>2.009092207690687E-2</v>
      </c>
      <c r="K403" s="16">
        <f t="shared" si="26"/>
        <v>2.0132719838788504E-2</v>
      </c>
      <c r="L403" s="16">
        <f t="shared" si="27"/>
        <v>2.0142986076853719E-2</v>
      </c>
      <c r="M403" s="16">
        <f t="shared" si="28"/>
        <v>2.0132719838788504E-2</v>
      </c>
    </row>
    <row r="404" spans="1:13" x14ac:dyDescent="0.3">
      <c r="A404" t="s">
        <v>411</v>
      </c>
      <c r="B404" s="1">
        <v>0.99831019114735997</v>
      </c>
      <c r="C404" s="1">
        <v>0.99831654838892203</v>
      </c>
      <c r="D404" s="1">
        <v>0.99830871458638704</v>
      </c>
      <c r="E404" s="1">
        <v>1.0067830597765299</v>
      </c>
      <c r="F404" s="1">
        <v>1.0067830597765299</v>
      </c>
      <c r="G404" s="1">
        <v>1.0067830597765299</v>
      </c>
      <c r="H404">
        <v>358</v>
      </c>
      <c r="I404">
        <v>358</v>
      </c>
      <c r="J404" s="16">
        <f t="shared" si="25"/>
        <v>8.4157838641530543E-3</v>
      </c>
      <c r="K404" s="16">
        <f t="shared" si="26"/>
        <v>8.4094694536151256E-3</v>
      </c>
      <c r="L404" s="16">
        <f t="shared" si="27"/>
        <v>8.4172504770033563E-3</v>
      </c>
      <c r="M404" s="16">
        <f t="shared" si="28"/>
        <v>8.4157838641530543E-3</v>
      </c>
    </row>
    <row r="405" spans="1:13" x14ac:dyDescent="0.3">
      <c r="A405" t="s">
        <v>412</v>
      </c>
      <c r="B405" s="1">
        <v>1.0059042494491499</v>
      </c>
      <c r="C405" s="1">
        <v>1.0057903290169701</v>
      </c>
      <c r="D405" s="1">
        <v>1.0082425664338299</v>
      </c>
      <c r="E405" s="1">
        <v>1.0084005080601</v>
      </c>
      <c r="F405" s="1">
        <v>1.0084005080601</v>
      </c>
      <c r="G405" s="1">
        <v>1.0084005080601</v>
      </c>
      <c r="H405">
        <v>1490</v>
      </c>
      <c r="I405">
        <v>1464</v>
      </c>
      <c r="J405" s="16">
        <f t="shared" si="25"/>
        <v>2.4754634602001473E-3</v>
      </c>
      <c r="K405" s="16">
        <f t="shared" si="26"/>
        <v>2.5884348750985693E-3</v>
      </c>
      <c r="L405" s="16">
        <f t="shared" si="27"/>
        <v>1.5662588922517421E-4</v>
      </c>
      <c r="M405" s="16">
        <f t="shared" si="28"/>
        <v>2.4754634602001473E-3</v>
      </c>
    </row>
    <row r="406" spans="1:13" x14ac:dyDescent="0.3">
      <c r="A406" t="s">
        <v>413</v>
      </c>
      <c r="B406" s="1">
        <v>1.16526167760108</v>
      </c>
      <c r="C406" s="1">
        <v>0.97654303824243405</v>
      </c>
      <c r="D406" s="1">
        <v>0.96634694592531301</v>
      </c>
      <c r="E406" s="1">
        <v>0.90436285500747304</v>
      </c>
      <c r="F406" s="1">
        <v>0.90436285500747304</v>
      </c>
      <c r="G406" s="1">
        <v>0.90436285500747304</v>
      </c>
      <c r="H406">
        <v>736</v>
      </c>
      <c r="I406">
        <v>669</v>
      </c>
      <c r="J406" s="16">
        <f t="shared" si="25"/>
        <v>-0.28848909610672929</v>
      </c>
      <c r="K406" s="16">
        <f t="shared" si="26"/>
        <v>-7.9813299313763339E-2</v>
      </c>
      <c r="L406" s="16">
        <f t="shared" si="27"/>
        <v>-6.8538961518192568E-2</v>
      </c>
      <c r="M406" s="16">
        <f t="shared" si="28"/>
        <v>7.9813299313763339E-2</v>
      </c>
    </row>
    <row r="407" spans="1:13" x14ac:dyDescent="0.3">
      <c r="A407" t="s">
        <v>414</v>
      </c>
      <c r="B407" s="1">
        <v>0.99930373358329705</v>
      </c>
      <c r="C407" s="1">
        <v>1.7818616247635599</v>
      </c>
      <c r="D407" s="1">
        <v>1.2900606758686901</v>
      </c>
      <c r="E407" s="1">
        <v>0.97245130736392704</v>
      </c>
      <c r="F407" s="1">
        <v>0.97245130736392704</v>
      </c>
      <c r="G407" s="1">
        <v>0.97245130736392704</v>
      </c>
      <c r="H407">
        <v>983</v>
      </c>
      <c r="I407">
        <v>937</v>
      </c>
      <c r="J407" s="16">
        <f t="shared" si="25"/>
        <v>-2.7613131902881838E-2</v>
      </c>
      <c r="K407" s="16">
        <f t="shared" si="26"/>
        <v>-0.83234020178731871</v>
      </c>
      <c r="L407" s="16">
        <f t="shared" si="27"/>
        <v>-0.32660696335091866</v>
      </c>
      <c r="M407" s="16">
        <f t="shared" si="28"/>
        <v>0.32660696335091866</v>
      </c>
    </row>
    <row r="408" spans="1:13" x14ac:dyDescent="0.3">
      <c r="A408" t="s">
        <v>415</v>
      </c>
      <c r="B408" s="1">
        <v>1.0140211548960201</v>
      </c>
      <c r="C408" s="1">
        <v>1.01386519950596</v>
      </c>
      <c r="D408" s="1">
        <v>1.01369771971649</v>
      </c>
      <c r="E408" s="1">
        <v>1.0013373995121899</v>
      </c>
      <c r="F408" s="1">
        <v>1.0013373995121899</v>
      </c>
      <c r="G408" s="1">
        <v>1.0013373995121899</v>
      </c>
      <c r="H408">
        <v>205</v>
      </c>
      <c r="I408">
        <v>205</v>
      </c>
      <c r="J408" s="16">
        <f t="shared" si="25"/>
        <v>-1.2666814791906457E-2</v>
      </c>
      <c r="K408" s="16">
        <f t="shared" si="26"/>
        <v>-1.251106769793388E-2</v>
      </c>
      <c r="L408" s="16">
        <f t="shared" si="27"/>
        <v>-1.2343811596692133E-2</v>
      </c>
      <c r="M408" s="16">
        <f t="shared" si="28"/>
        <v>1.251106769793388E-2</v>
      </c>
    </row>
    <row r="409" spans="1:13" x14ac:dyDescent="0.3">
      <c r="A409" t="s">
        <v>416</v>
      </c>
      <c r="B409" s="1">
        <v>0.99376656689683196</v>
      </c>
      <c r="C409" s="1">
        <v>0.90447808338309399</v>
      </c>
      <c r="D409" s="1">
        <v>0.90816690469421901</v>
      </c>
      <c r="E409" s="1">
        <v>1.00795022139639</v>
      </c>
      <c r="F409" s="1">
        <v>1.00795022139639</v>
      </c>
      <c r="G409" s="1">
        <v>1.00795022139639</v>
      </c>
      <c r="H409">
        <v>538</v>
      </c>
      <c r="I409">
        <v>444</v>
      </c>
      <c r="J409" s="16">
        <f t="shared" si="25"/>
        <v>1.4071780727334291E-2</v>
      </c>
      <c r="K409" s="16">
        <f t="shared" si="26"/>
        <v>0.10265600008495282</v>
      </c>
      <c r="L409" s="16">
        <f t="shared" si="27"/>
        <v>9.8996274403247403E-2</v>
      </c>
      <c r="M409" s="16">
        <f t="shared" si="28"/>
        <v>9.8996274403247403E-2</v>
      </c>
    </row>
    <row r="410" spans="1:13" x14ac:dyDescent="0.3">
      <c r="A410" t="s">
        <v>417</v>
      </c>
      <c r="B410" s="1">
        <v>0.97849607486618795</v>
      </c>
      <c r="C410" s="1">
        <v>0.96756432980013496</v>
      </c>
      <c r="D410" s="1">
        <v>0.97395596927122396</v>
      </c>
      <c r="E410" s="1">
        <v>0.88484515557287602</v>
      </c>
      <c r="F410" s="1">
        <v>0.88484515557287602</v>
      </c>
      <c r="G410" s="1">
        <v>0.88484515557287602</v>
      </c>
      <c r="H410">
        <v>1358</v>
      </c>
      <c r="I410">
        <v>1283</v>
      </c>
      <c r="J410" s="16">
        <f t="shared" si="25"/>
        <v>-0.10583876591682241</v>
      </c>
      <c r="K410" s="16">
        <f t="shared" si="26"/>
        <v>-9.3484350008905231E-2</v>
      </c>
      <c r="L410" s="16">
        <f t="shared" si="27"/>
        <v>-0.10070780535680829</v>
      </c>
      <c r="M410" s="16">
        <f t="shared" si="28"/>
        <v>0.10070780535680829</v>
      </c>
    </row>
    <row r="411" spans="1:13" x14ac:dyDescent="0.3">
      <c r="A411" t="s">
        <v>418</v>
      </c>
      <c r="B411" s="1">
        <v>0.98597267976297798</v>
      </c>
      <c r="C411" s="1">
        <v>0.98597259453955999</v>
      </c>
      <c r="D411" s="1">
        <v>0.98597267981748105</v>
      </c>
      <c r="E411" s="1">
        <v>0.94945107398567996</v>
      </c>
      <c r="F411" s="1">
        <v>0.94945107398567996</v>
      </c>
      <c r="G411" s="1">
        <v>0.94945107398567996</v>
      </c>
      <c r="H411">
        <v>419</v>
      </c>
      <c r="I411">
        <v>419</v>
      </c>
      <c r="J411" s="16">
        <f t="shared" si="25"/>
        <v>-3.8466021870916176E-2</v>
      </c>
      <c r="K411" s="16">
        <f t="shared" si="26"/>
        <v>-3.8465932110189872E-2</v>
      </c>
      <c r="L411" s="16">
        <f t="shared" si="27"/>
        <v>-3.8466021928320993E-2</v>
      </c>
      <c r="M411" s="16">
        <f t="shared" si="28"/>
        <v>3.8466021870916176E-2</v>
      </c>
    </row>
    <row r="412" spans="1:13" x14ac:dyDescent="0.3">
      <c r="A412" t="s">
        <v>419</v>
      </c>
      <c r="B412" s="1">
        <v>0.96774348254843701</v>
      </c>
      <c r="C412" s="1">
        <v>0.97885774392434199</v>
      </c>
      <c r="D412" s="1">
        <v>0.97885785866007102</v>
      </c>
      <c r="E412" s="1">
        <v>0.95886652542372797</v>
      </c>
      <c r="F412" s="1">
        <v>0.95886652542372797</v>
      </c>
      <c r="G412" s="1">
        <v>0.95886652542372797</v>
      </c>
      <c r="H412">
        <v>179</v>
      </c>
      <c r="I412">
        <v>177</v>
      </c>
      <c r="J412" s="16">
        <f t="shared" si="25"/>
        <v>-9.2577610014973333E-3</v>
      </c>
      <c r="K412" s="16">
        <f t="shared" si="26"/>
        <v>-2.0848802174817611E-2</v>
      </c>
      <c r="L412" s="16">
        <f t="shared" si="27"/>
        <v>-2.0848921832482145E-2</v>
      </c>
      <c r="M412" s="16">
        <f t="shared" si="28"/>
        <v>2.0848802174817611E-2</v>
      </c>
    </row>
    <row r="413" spans="1:13" x14ac:dyDescent="0.3">
      <c r="A413" t="s">
        <v>420</v>
      </c>
      <c r="B413" s="1">
        <v>0.96205435412237905</v>
      </c>
      <c r="C413" s="1">
        <v>0.968327118752487</v>
      </c>
      <c r="D413" s="1">
        <v>0.95569089527168405</v>
      </c>
      <c r="E413" s="1">
        <v>1.0059586945299099</v>
      </c>
      <c r="F413" s="1">
        <v>1.0059586945299099</v>
      </c>
      <c r="G413" s="1">
        <v>1.0059586945299099</v>
      </c>
      <c r="H413">
        <v>633</v>
      </c>
      <c r="I413">
        <v>585</v>
      </c>
      <c r="J413" s="16">
        <f t="shared" si="25"/>
        <v>4.3644277489989412E-2</v>
      </c>
      <c r="K413" s="16">
        <f t="shared" si="26"/>
        <v>3.7408668946400804E-2</v>
      </c>
      <c r="L413" s="16">
        <f t="shared" si="27"/>
        <v>4.9970043036127156E-2</v>
      </c>
      <c r="M413" s="16">
        <f t="shared" si="28"/>
        <v>4.3644277489989412E-2</v>
      </c>
    </row>
    <row r="414" spans="1:13" x14ac:dyDescent="0.3">
      <c r="A414" t="s">
        <v>421</v>
      </c>
      <c r="B414" s="1">
        <v>0.93703352154612696</v>
      </c>
      <c r="C414" s="1">
        <v>0.94194091168418204</v>
      </c>
      <c r="D414" s="1">
        <v>0.92185153069341497</v>
      </c>
      <c r="E414" s="1">
        <v>3.4922379291925401</v>
      </c>
      <c r="F414" s="1">
        <v>3.4922379291925401</v>
      </c>
      <c r="G414" s="1">
        <v>3.4922379291925401</v>
      </c>
      <c r="H414">
        <v>202</v>
      </c>
      <c r="I414">
        <v>161</v>
      </c>
      <c r="J414" s="16">
        <f t="shared" si="25"/>
        <v>0.73168107656319292</v>
      </c>
      <c r="K414" s="16">
        <f t="shared" si="26"/>
        <v>0.73027584867278117</v>
      </c>
      <c r="L414" s="16">
        <f t="shared" si="27"/>
        <v>0.73602842951008174</v>
      </c>
      <c r="M414" s="16">
        <f t="shared" si="28"/>
        <v>0.73168107656319292</v>
      </c>
    </row>
    <row r="415" spans="1:13" x14ac:dyDescent="0.3">
      <c r="A415" t="s">
        <v>422</v>
      </c>
      <c r="B415" s="1">
        <v>0.97011958338778903</v>
      </c>
      <c r="C415" s="1">
        <v>0.97374103890902297</v>
      </c>
      <c r="D415" s="1">
        <v>0.97006320652196898</v>
      </c>
      <c r="E415" s="1">
        <v>0.86702961019490199</v>
      </c>
      <c r="F415" s="1">
        <v>0.86702961019490199</v>
      </c>
      <c r="G415" s="1">
        <v>0.86702961019490199</v>
      </c>
      <c r="H415">
        <v>1368</v>
      </c>
      <c r="I415">
        <v>1334</v>
      </c>
      <c r="J415" s="16">
        <f t="shared" si="25"/>
        <v>-0.11890017593483705</v>
      </c>
      <c r="K415" s="16">
        <f t="shared" si="26"/>
        <v>-0.12307702927254471</v>
      </c>
      <c r="L415" s="16">
        <f t="shared" si="27"/>
        <v>-0.11883515293544102</v>
      </c>
      <c r="M415" s="16">
        <f t="shared" si="28"/>
        <v>0.11890017593483705</v>
      </c>
    </row>
    <row r="416" spans="1:13" x14ac:dyDescent="0.3">
      <c r="A416" t="s">
        <v>423</v>
      </c>
      <c r="B416" s="1">
        <v>0.99032398646966202</v>
      </c>
      <c r="C416" s="1">
        <v>0.99032398666789501</v>
      </c>
      <c r="D416" s="1">
        <v>0.99032398665476995</v>
      </c>
      <c r="E416" s="1">
        <v>0.97171474358974297</v>
      </c>
      <c r="F416" s="1">
        <v>0.97171474358974297</v>
      </c>
      <c r="G416" s="1">
        <v>0.97171474358974297</v>
      </c>
      <c r="H416">
        <v>312</v>
      </c>
      <c r="I416">
        <v>312</v>
      </c>
      <c r="J416" s="16">
        <f t="shared" si="25"/>
        <v>-1.9150931899182808E-2</v>
      </c>
      <c r="K416" s="16">
        <f t="shared" si="26"/>
        <v>-1.915093210318608E-2</v>
      </c>
      <c r="L416" s="16">
        <f t="shared" si="27"/>
        <v>-1.9150932089678972E-2</v>
      </c>
      <c r="M416" s="16">
        <f t="shared" si="28"/>
        <v>1.9150932089678972E-2</v>
      </c>
    </row>
    <row r="417" spans="1:13" x14ac:dyDescent="0.3">
      <c r="A417" t="s">
        <v>424</v>
      </c>
      <c r="B417" s="1">
        <v>0.98514757241412798</v>
      </c>
      <c r="C417" s="1">
        <v>0.99300508648493002</v>
      </c>
      <c r="D417" s="1">
        <v>0.99001205136437898</v>
      </c>
      <c r="E417" s="1">
        <v>1.01580878140589</v>
      </c>
      <c r="F417" s="1">
        <v>1.01580878140589</v>
      </c>
      <c r="G417" s="1">
        <v>1.01580878140589</v>
      </c>
      <c r="H417">
        <v>925</v>
      </c>
      <c r="I417">
        <v>882</v>
      </c>
      <c r="J417" s="16">
        <f t="shared" si="25"/>
        <v>3.0184036162127503E-2</v>
      </c>
      <c r="K417" s="16">
        <f t="shared" si="26"/>
        <v>2.2448806643903453E-2</v>
      </c>
      <c r="L417" s="16">
        <f t="shared" si="27"/>
        <v>2.5395261897429276E-2</v>
      </c>
      <c r="M417" s="16">
        <f t="shared" si="28"/>
        <v>2.5395261897429276E-2</v>
      </c>
    </row>
    <row r="418" spans="1:13" x14ac:dyDescent="0.3">
      <c r="A418" t="s">
        <v>425</v>
      </c>
      <c r="B418" s="1">
        <v>1.00184217587559</v>
      </c>
      <c r="C418" s="1">
        <v>1.00798324902202</v>
      </c>
      <c r="D418" s="1">
        <v>1.0080637005598401</v>
      </c>
      <c r="E418" s="1">
        <v>1.00594421850311</v>
      </c>
      <c r="F418" s="1">
        <v>1.00594421850311</v>
      </c>
      <c r="G418" s="1">
        <v>1.00594421850311</v>
      </c>
      <c r="H418">
        <v>484</v>
      </c>
      <c r="I418">
        <v>481</v>
      </c>
      <c r="J418" s="16">
        <f t="shared" si="25"/>
        <v>4.0778032738475615E-3</v>
      </c>
      <c r="K418" s="16">
        <f t="shared" si="26"/>
        <v>-2.0269816968023699E-3</v>
      </c>
      <c r="L418" s="16">
        <f t="shared" si="27"/>
        <v>-2.1069578389584613E-3</v>
      </c>
      <c r="M418" s="16">
        <f t="shared" si="28"/>
        <v>2.0269816968023699E-3</v>
      </c>
    </row>
    <row r="419" spans="1:13" x14ac:dyDescent="0.3">
      <c r="A419" t="s">
        <v>426</v>
      </c>
      <c r="B419" s="1">
        <v>0.98074065248939901</v>
      </c>
      <c r="C419" s="1">
        <v>0.980738928301785</v>
      </c>
      <c r="D419" s="1">
        <v>0.98159842762751703</v>
      </c>
      <c r="E419" s="1">
        <v>1.0085265559292</v>
      </c>
      <c r="F419" s="1">
        <v>1.0085265559292</v>
      </c>
      <c r="G419" s="1">
        <v>1.0085265559292</v>
      </c>
      <c r="H419">
        <v>1153</v>
      </c>
      <c r="I419">
        <v>1130</v>
      </c>
      <c r="J419" s="16">
        <f t="shared" si="25"/>
        <v>2.7550988396334939E-2</v>
      </c>
      <c r="K419" s="16">
        <f t="shared" si="26"/>
        <v>2.7552698006859201E-2</v>
      </c>
      <c r="L419" s="16">
        <f t="shared" si="27"/>
        <v>2.6700465291043262E-2</v>
      </c>
      <c r="M419" s="16">
        <f t="shared" si="28"/>
        <v>2.7550988396334939E-2</v>
      </c>
    </row>
    <row r="420" spans="1:13" x14ac:dyDescent="0.3">
      <c r="A420" t="s">
        <v>427</v>
      </c>
      <c r="B420" s="1">
        <v>0.94192122482055796</v>
      </c>
      <c r="C420" s="1">
        <v>0.96219390099086699</v>
      </c>
      <c r="D420" s="1">
        <v>0.95297090838572696</v>
      </c>
      <c r="E420" s="1">
        <v>1.0176547234726601</v>
      </c>
      <c r="F420" s="1">
        <v>1.0176547234726601</v>
      </c>
      <c r="G420" s="1">
        <v>1.0176547234726601</v>
      </c>
      <c r="H420">
        <v>731</v>
      </c>
      <c r="I420">
        <v>622</v>
      </c>
      <c r="J420" s="16">
        <f t="shared" si="25"/>
        <v>7.4419640478519067E-2</v>
      </c>
      <c r="K420" s="16">
        <f t="shared" si="26"/>
        <v>5.4498663645502217E-2</v>
      </c>
      <c r="L420" s="16">
        <f t="shared" si="27"/>
        <v>6.3561651702657165E-2</v>
      </c>
      <c r="M420" s="16">
        <f t="shared" si="28"/>
        <v>6.3561651702657165E-2</v>
      </c>
    </row>
    <row r="421" spans="1:13" x14ac:dyDescent="0.3">
      <c r="A421" t="s">
        <v>428</v>
      </c>
      <c r="B421" s="1">
        <v>0.96842076371161001</v>
      </c>
      <c r="C421" s="1">
        <v>0.96459542782250596</v>
      </c>
      <c r="D421" s="1">
        <v>0.97097735228001703</v>
      </c>
      <c r="E421" s="1">
        <v>1.00791723119143</v>
      </c>
      <c r="F421" s="1">
        <v>1.00791723119143</v>
      </c>
      <c r="G421" s="1">
        <v>1.00791723119143</v>
      </c>
      <c r="H421">
        <v>784</v>
      </c>
      <c r="I421">
        <v>747</v>
      </c>
      <c r="J421" s="16">
        <f t="shared" si="25"/>
        <v>3.9186221107791068E-2</v>
      </c>
      <c r="K421" s="16">
        <f t="shared" si="26"/>
        <v>4.2981508826587418E-2</v>
      </c>
      <c r="L421" s="16">
        <f t="shared" si="27"/>
        <v>3.6649714647449136E-2</v>
      </c>
      <c r="M421" s="16">
        <f t="shared" si="28"/>
        <v>3.9186221107791068E-2</v>
      </c>
    </row>
    <row r="422" spans="1:13" x14ac:dyDescent="0.3">
      <c r="A422" t="s">
        <v>429</v>
      </c>
      <c r="B422" s="1">
        <v>0.94755581541412603</v>
      </c>
      <c r="C422" s="1">
        <v>0.95940286280294196</v>
      </c>
      <c r="D422" s="1">
        <v>0.92895022086716905</v>
      </c>
      <c r="E422" s="1">
        <v>1.01998043923444</v>
      </c>
      <c r="F422" s="1">
        <v>1.01998043923444</v>
      </c>
      <c r="G422" s="1">
        <v>1.01998043923444</v>
      </c>
      <c r="H422">
        <v>496</v>
      </c>
      <c r="I422">
        <v>418</v>
      </c>
      <c r="J422" s="16">
        <f t="shared" si="25"/>
        <v>7.1005894852918236E-2</v>
      </c>
      <c r="K422" s="16">
        <f t="shared" si="26"/>
        <v>5.9390919767996132E-2</v>
      </c>
      <c r="L422" s="16">
        <f t="shared" si="27"/>
        <v>8.9247023634683564E-2</v>
      </c>
      <c r="M422" s="16">
        <f t="shared" si="28"/>
        <v>7.1005894852918236E-2</v>
      </c>
    </row>
    <row r="423" spans="1:13" x14ac:dyDescent="0.3">
      <c r="A423" t="s">
        <v>430</v>
      </c>
      <c r="B423" s="1">
        <v>0.97472215315046495</v>
      </c>
      <c r="C423" s="1">
        <v>0.97610857384826899</v>
      </c>
      <c r="D423" s="1">
        <v>0.979093128875268</v>
      </c>
      <c r="E423" s="1">
        <v>1.00901128586466</v>
      </c>
      <c r="F423" s="1">
        <v>1.00901128586466</v>
      </c>
      <c r="G423" s="1">
        <v>1.00901128586466</v>
      </c>
      <c r="H423">
        <v>688</v>
      </c>
      <c r="I423">
        <v>665</v>
      </c>
      <c r="J423" s="16">
        <f t="shared" si="25"/>
        <v>3.3982903060208521E-2</v>
      </c>
      <c r="K423" s="16">
        <f t="shared" si="26"/>
        <v>3.2608864219190049E-2</v>
      </c>
      <c r="L423" s="16">
        <f t="shared" si="27"/>
        <v>2.9650963679513295E-2</v>
      </c>
      <c r="M423" s="16">
        <f t="shared" si="28"/>
        <v>3.2608864219190049E-2</v>
      </c>
    </row>
    <row r="424" spans="1:13" x14ac:dyDescent="0.3">
      <c r="A424" t="s">
        <v>431</v>
      </c>
      <c r="B424" s="1">
        <v>0.98936742790079801</v>
      </c>
      <c r="C424" s="1">
        <v>0.99041214227204699</v>
      </c>
      <c r="D424" s="1">
        <v>0.99041214225136398</v>
      </c>
      <c r="E424" s="1">
        <v>1.00930813549382</v>
      </c>
      <c r="F424" s="1">
        <v>1.00930813549382</v>
      </c>
      <c r="G424" s="1">
        <v>1.00930813549382</v>
      </c>
      <c r="H424">
        <v>973</v>
      </c>
      <c r="I424">
        <v>972</v>
      </c>
      <c r="J424" s="16">
        <f t="shared" si="25"/>
        <v>1.9756808542185894E-2</v>
      </c>
      <c r="K424" s="16">
        <f t="shared" si="26"/>
        <v>1.8721728833115844E-2</v>
      </c>
      <c r="L424" s="16">
        <f t="shared" si="27"/>
        <v>1.8721728853608111E-2</v>
      </c>
      <c r="M424" s="16">
        <f t="shared" si="28"/>
        <v>1.8721728853608111E-2</v>
      </c>
    </row>
    <row r="425" spans="1:13" x14ac:dyDescent="0.3">
      <c r="A425" t="s">
        <v>432</v>
      </c>
      <c r="B425" s="1">
        <v>0.99999999996464395</v>
      </c>
      <c r="C425" s="1">
        <v>0.99999999996464395</v>
      </c>
      <c r="D425" s="1">
        <v>0.99999999996464395</v>
      </c>
      <c r="E425" s="1">
        <v>1.01958335</v>
      </c>
      <c r="F425" s="1">
        <v>1.01958335</v>
      </c>
      <c r="G425" s="1">
        <v>1.01958335</v>
      </c>
      <c r="H425">
        <v>2</v>
      </c>
      <c r="I425">
        <v>2</v>
      </c>
      <c r="J425" s="16">
        <f t="shared" si="25"/>
        <v>1.9207208547840696E-2</v>
      </c>
      <c r="K425" s="16">
        <f t="shared" si="26"/>
        <v>1.9207208547840696E-2</v>
      </c>
      <c r="L425" s="16">
        <f t="shared" si="27"/>
        <v>1.9207208547840696E-2</v>
      </c>
      <c r="M425" s="16">
        <f t="shared" si="28"/>
        <v>1.9207208547840696E-2</v>
      </c>
    </row>
    <row r="426" spans="1:13" x14ac:dyDescent="0.3">
      <c r="A426" t="s">
        <v>433</v>
      </c>
      <c r="B426" s="1">
        <v>0.99642134229323898</v>
      </c>
      <c r="C426" s="1">
        <v>0.99642024648893601</v>
      </c>
      <c r="D426" s="1">
        <v>0.99830914676687399</v>
      </c>
      <c r="E426" s="1">
        <v>1.0083822672348399</v>
      </c>
      <c r="F426" s="1">
        <v>1.0083822672348399</v>
      </c>
      <c r="G426" s="1">
        <v>1.0083822672348399</v>
      </c>
      <c r="H426">
        <v>530</v>
      </c>
      <c r="I426">
        <v>528</v>
      </c>
      <c r="J426" s="16">
        <f t="shared" si="25"/>
        <v>1.1861498689777528E-2</v>
      </c>
      <c r="K426" s="16">
        <f t="shared" si="26"/>
        <v>1.1862585385109816E-2</v>
      </c>
      <c r="L426" s="16">
        <f t="shared" si="27"/>
        <v>9.9893867586428198E-3</v>
      </c>
      <c r="M426" s="16">
        <f t="shared" si="28"/>
        <v>1.1861498689777528E-2</v>
      </c>
    </row>
    <row r="427" spans="1:13" x14ac:dyDescent="0.3">
      <c r="A427" t="s">
        <v>434</v>
      </c>
      <c r="B427" s="1">
        <v>1.0018166232646699</v>
      </c>
      <c r="C427" s="1">
        <v>1.05334847198829</v>
      </c>
      <c r="D427" s="1">
        <v>0.99358353383809705</v>
      </c>
      <c r="E427" s="1">
        <v>0.95459971098265795</v>
      </c>
      <c r="F427" s="1">
        <v>0.95459971098265795</v>
      </c>
      <c r="G427" s="1">
        <v>0.95459971098265795</v>
      </c>
      <c r="H427">
        <v>1757</v>
      </c>
      <c r="I427">
        <v>1730</v>
      </c>
      <c r="J427" s="16">
        <f t="shared" si="25"/>
        <v>-4.9462525222647748E-2</v>
      </c>
      <c r="K427" s="16">
        <f t="shared" si="26"/>
        <v>-0.10344520312496298</v>
      </c>
      <c r="L427" s="16">
        <f t="shared" si="27"/>
        <v>-4.0837874144451024E-2</v>
      </c>
      <c r="M427" s="16">
        <f t="shared" si="28"/>
        <v>4.9462525222647748E-2</v>
      </c>
    </row>
    <row r="428" spans="1:13" x14ac:dyDescent="0.3">
      <c r="A428" t="s">
        <v>435</v>
      </c>
      <c r="B428" s="1">
        <v>0.97783704290214002</v>
      </c>
      <c r="C428" s="1">
        <v>0.95000999355294802</v>
      </c>
      <c r="D428" s="1">
        <v>0.96594236443273596</v>
      </c>
      <c r="E428" s="1">
        <v>1.00774819499999</v>
      </c>
      <c r="F428" s="1">
        <v>1.00774819499999</v>
      </c>
      <c r="G428" s="1">
        <v>1.00774819499999</v>
      </c>
      <c r="H428">
        <v>1439</v>
      </c>
      <c r="I428">
        <v>1380</v>
      </c>
      <c r="J428" s="16">
        <f t="shared" si="25"/>
        <v>2.9681176554079858E-2</v>
      </c>
      <c r="K428" s="16">
        <f t="shared" si="26"/>
        <v>5.729427423786413E-2</v>
      </c>
      <c r="L428" s="16">
        <f t="shared" si="27"/>
        <v>4.148440133624301E-2</v>
      </c>
      <c r="M428" s="16">
        <f t="shared" si="28"/>
        <v>4.148440133624301E-2</v>
      </c>
    </row>
    <row r="429" spans="1:13" x14ac:dyDescent="0.3">
      <c r="A429" t="s">
        <v>436</v>
      </c>
      <c r="B429" s="1">
        <v>0.97892792864107703</v>
      </c>
      <c r="C429" s="1">
        <v>1.0758200042480499</v>
      </c>
      <c r="D429" s="1">
        <v>1.05583214989037</v>
      </c>
      <c r="E429" s="1">
        <v>1.0046802974842699</v>
      </c>
      <c r="F429" s="1">
        <v>1.0046802974842699</v>
      </c>
      <c r="G429" s="1">
        <v>1.0046802974842699</v>
      </c>
      <c r="H429">
        <v>828</v>
      </c>
      <c r="I429">
        <v>636</v>
      </c>
      <c r="J429" s="16">
        <f t="shared" si="25"/>
        <v>2.5632401578568904E-2</v>
      </c>
      <c r="K429" s="16">
        <f t="shared" si="26"/>
        <v>-7.0808302842122597E-2</v>
      </c>
      <c r="L429" s="16">
        <f t="shared" si="27"/>
        <v>-5.0913561790934765E-2</v>
      </c>
      <c r="M429" s="16">
        <f t="shared" si="28"/>
        <v>5.0913561790934765E-2</v>
      </c>
    </row>
    <row r="430" spans="1:13" x14ac:dyDescent="0.3">
      <c r="A430" t="s">
        <v>437</v>
      </c>
      <c r="B430" s="1">
        <v>0.99761555724686501</v>
      </c>
      <c r="C430" s="1">
        <v>0.997556665539724</v>
      </c>
      <c r="D430" s="1">
        <v>0.98506522026180199</v>
      </c>
      <c r="E430" s="1">
        <v>0.90981592356687802</v>
      </c>
      <c r="F430" s="1">
        <v>0.90981592356687802</v>
      </c>
      <c r="G430" s="1">
        <v>0.90981592356687802</v>
      </c>
      <c r="H430">
        <v>636</v>
      </c>
      <c r="I430">
        <v>628</v>
      </c>
      <c r="J430" s="16">
        <f t="shared" si="25"/>
        <v>-9.6502634660178152E-2</v>
      </c>
      <c r="K430" s="16">
        <f t="shared" si="26"/>
        <v>-9.6437905404934812E-2</v>
      </c>
      <c r="L430" s="16">
        <f t="shared" si="27"/>
        <v>-8.2708265205904158E-2</v>
      </c>
      <c r="M430" s="16">
        <f t="shared" si="28"/>
        <v>9.6437905404934812E-2</v>
      </c>
    </row>
    <row r="431" spans="1:13" x14ac:dyDescent="0.3">
      <c r="A431" t="s">
        <v>438</v>
      </c>
      <c r="B431" s="1">
        <v>0.99018390921897703</v>
      </c>
      <c r="C431" s="1">
        <v>0.99018707132831096</v>
      </c>
      <c r="D431" s="1">
        <v>0.99020667437777199</v>
      </c>
      <c r="E431" s="1">
        <v>1.0037831471590899</v>
      </c>
      <c r="F431" s="1">
        <v>1.0037831471590899</v>
      </c>
      <c r="G431" s="1">
        <v>1.0037831471590899</v>
      </c>
      <c r="H431">
        <v>352</v>
      </c>
      <c r="I431">
        <v>352</v>
      </c>
      <c r="J431" s="16">
        <f t="shared" si="25"/>
        <v>1.3547983923222328E-2</v>
      </c>
      <c r="K431" s="16">
        <f t="shared" si="26"/>
        <v>1.3544833731527159E-2</v>
      </c>
      <c r="L431" s="16">
        <f t="shared" si="27"/>
        <v>1.352530456378161E-2</v>
      </c>
      <c r="M431" s="16">
        <f t="shared" si="28"/>
        <v>1.3544833731527159E-2</v>
      </c>
    </row>
    <row r="432" spans="1:13" x14ac:dyDescent="0.3">
      <c r="A432" t="s">
        <v>439</v>
      </c>
      <c r="B432" s="1">
        <v>0.972484356181473</v>
      </c>
      <c r="C432" s="1">
        <v>0.99057349757917201</v>
      </c>
      <c r="D432" s="1">
        <v>0.97851458207722297</v>
      </c>
      <c r="E432" s="1">
        <v>1.0043788857142799</v>
      </c>
      <c r="F432" s="1">
        <v>1.0043788857142799</v>
      </c>
      <c r="G432" s="1">
        <v>1.0043788857142799</v>
      </c>
      <c r="H432">
        <v>166</v>
      </c>
      <c r="I432">
        <v>161</v>
      </c>
      <c r="J432" s="16">
        <f t="shared" si="25"/>
        <v>3.1755475932894205E-2</v>
      </c>
      <c r="K432" s="16">
        <f t="shared" si="26"/>
        <v>1.3745199477476051E-2</v>
      </c>
      <c r="L432" s="16">
        <f t="shared" si="27"/>
        <v>2.5751540583873515E-2</v>
      </c>
      <c r="M432" s="16">
        <f t="shared" si="28"/>
        <v>2.5751540583873515E-2</v>
      </c>
    </row>
    <row r="433" spans="1:13" x14ac:dyDescent="0.3">
      <c r="A433" t="s">
        <v>440</v>
      </c>
      <c r="B433" s="1">
        <v>0.99477302166971904</v>
      </c>
      <c r="C433" s="1">
        <v>0.96685873721919302</v>
      </c>
      <c r="D433" s="1">
        <v>0.97384854676894705</v>
      </c>
      <c r="E433" s="1">
        <v>1.0084477196078401</v>
      </c>
      <c r="F433" s="1">
        <v>1.0084477196078401</v>
      </c>
      <c r="G433" s="1">
        <v>1.0084477196078401</v>
      </c>
      <c r="H433">
        <v>429</v>
      </c>
      <c r="I433">
        <v>408</v>
      </c>
      <c r="J433" s="16">
        <f t="shared" si="25"/>
        <v>1.3560145629997343E-2</v>
      </c>
      <c r="K433" s="16">
        <f t="shared" si="26"/>
        <v>4.1240593418982556E-2</v>
      </c>
      <c r="L433" s="16">
        <f t="shared" si="27"/>
        <v>3.4309337178478394E-2</v>
      </c>
      <c r="M433" s="16">
        <f t="shared" si="28"/>
        <v>3.4309337178478394E-2</v>
      </c>
    </row>
    <row r="434" spans="1:13" x14ac:dyDescent="0.3">
      <c r="A434" t="s">
        <v>441</v>
      </c>
      <c r="B434" s="1">
        <v>0.966821440786377</v>
      </c>
      <c r="C434" s="1">
        <v>0.96698111244426599</v>
      </c>
      <c r="D434" s="1">
        <v>0.96680858347781096</v>
      </c>
      <c r="E434" s="1">
        <v>1.00641140470016</v>
      </c>
      <c r="F434" s="1">
        <v>1.00641140470016</v>
      </c>
      <c r="G434" s="1">
        <v>1.00641140470016</v>
      </c>
      <c r="H434">
        <v>674</v>
      </c>
      <c r="I434">
        <v>617</v>
      </c>
      <c r="J434" s="16">
        <f t="shared" si="25"/>
        <v>3.9337753655104925E-2</v>
      </c>
      <c r="K434" s="16">
        <f t="shared" si="26"/>
        <v>3.9179099195166087E-2</v>
      </c>
      <c r="L434" s="16">
        <f t="shared" si="27"/>
        <v>3.9350529055409401E-2</v>
      </c>
      <c r="M434" s="16">
        <f t="shared" si="28"/>
        <v>3.9337753655104925E-2</v>
      </c>
    </row>
    <row r="435" spans="1:13" x14ac:dyDescent="0.3">
      <c r="A435" t="s">
        <v>442</v>
      </c>
      <c r="B435" s="1">
        <v>0.957325727317064</v>
      </c>
      <c r="C435" s="1">
        <v>0.93670551654255696</v>
      </c>
      <c r="D435" s="1">
        <v>1.1946890119604701</v>
      </c>
      <c r="E435" s="1">
        <v>0.96425532945736403</v>
      </c>
      <c r="F435" s="1">
        <v>0.96425532945736403</v>
      </c>
      <c r="G435" s="1">
        <v>0.96425532945736403</v>
      </c>
      <c r="H435">
        <v>1500</v>
      </c>
      <c r="I435">
        <v>1290</v>
      </c>
      <c r="J435" s="16">
        <f t="shared" si="25"/>
        <v>7.1864805188058137E-3</v>
      </c>
      <c r="K435" s="16">
        <f t="shared" si="26"/>
        <v>2.8571076636217052E-2</v>
      </c>
      <c r="L435" s="16">
        <f t="shared" si="27"/>
        <v>-0.23897579350977805</v>
      </c>
      <c r="M435" s="16">
        <f t="shared" si="28"/>
        <v>7.1864805188058137E-3</v>
      </c>
    </row>
    <row r="436" spans="1:13" x14ac:dyDescent="0.3">
      <c r="A436" t="s">
        <v>443</v>
      </c>
      <c r="B436" s="1">
        <v>0.98389370159102096</v>
      </c>
      <c r="C436" s="1">
        <v>0.96653234123637199</v>
      </c>
      <c r="D436" s="1">
        <v>0.96379115815175698</v>
      </c>
      <c r="E436" s="1">
        <v>1.0062831137931001</v>
      </c>
      <c r="F436" s="1">
        <v>1.0062831137931001</v>
      </c>
      <c r="G436" s="1">
        <v>1.0062831137931001</v>
      </c>
      <c r="H436">
        <v>693</v>
      </c>
      <c r="I436">
        <v>667</v>
      </c>
      <c r="J436" s="16">
        <f t="shared" si="25"/>
        <v>2.2249615337063652E-2</v>
      </c>
      <c r="K436" s="16">
        <f t="shared" si="26"/>
        <v>3.9502573392979717E-2</v>
      </c>
      <c r="L436" s="16">
        <f t="shared" si="27"/>
        <v>4.2226640851771066E-2</v>
      </c>
      <c r="M436" s="16">
        <f t="shared" si="28"/>
        <v>3.9502573392979717E-2</v>
      </c>
    </row>
    <row r="437" spans="1:13" x14ac:dyDescent="0.3">
      <c r="A437" t="s">
        <v>444</v>
      </c>
      <c r="B437" s="1">
        <v>1.0014151588971201</v>
      </c>
      <c r="C437" s="1">
        <v>0.98251680897253402</v>
      </c>
      <c r="D437" s="1">
        <v>1.0013886610032401</v>
      </c>
      <c r="E437" s="1">
        <v>1.00090733667953</v>
      </c>
      <c r="F437" s="1">
        <v>1.00090733667953</v>
      </c>
      <c r="G437" s="1">
        <v>1.00090733667953</v>
      </c>
      <c r="H437">
        <v>264</v>
      </c>
      <c r="I437">
        <v>259</v>
      </c>
      <c r="J437" s="16">
        <f t="shared" si="25"/>
        <v>-5.0736186955600512E-4</v>
      </c>
      <c r="K437" s="16">
        <f t="shared" si="26"/>
        <v>1.8373856433109827E-2</v>
      </c>
      <c r="L437" s="16">
        <f t="shared" si="27"/>
        <v>-4.8088799639219162E-4</v>
      </c>
      <c r="M437" s="16">
        <f t="shared" si="28"/>
        <v>4.8088799639219162E-4</v>
      </c>
    </row>
    <row r="438" spans="1:13" x14ac:dyDescent="0.3">
      <c r="A438" t="s">
        <v>445</v>
      </c>
      <c r="B438" s="1">
        <v>0.98800130993514301</v>
      </c>
      <c r="C438" s="1">
        <v>0.98800064752769401</v>
      </c>
      <c r="D438" s="1">
        <v>0.98800130686144705</v>
      </c>
      <c r="E438" s="1">
        <v>0.96304531249999903</v>
      </c>
      <c r="F438" s="1">
        <v>0.96304531249999903</v>
      </c>
      <c r="G438" s="1">
        <v>0.96304531249999903</v>
      </c>
      <c r="H438">
        <v>400</v>
      </c>
      <c r="I438">
        <v>400</v>
      </c>
      <c r="J438" s="16">
        <f t="shared" si="25"/>
        <v>-2.5913627439149194E-2</v>
      </c>
      <c r="K438" s="16">
        <f t="shared" si="26"/>
        <v>-2.5912939613311297E-2</v>
      </c>
      <c r="L438" s="16">
        <f t="shared" si="27"/>
        <v>-2.5913624247507091E-2</v>
      </c>
      <c r="M438" s="16">
        <f t="shared" si="28"/>
        <v>2.5913624247507091E-2</v>
      </c>
    </row>
    <row r="439" spans="1:13" x14ac:dyDescent="0.3">
      <c r="A439" t="s">
        <v>446</v>
      </c>
      <c r="B439" s="1">
        <v>0.99630253028397597</v>
      </c>
      <c r="C439" s="1">
        <v>0.97187604235549596</v>
      </c>
      <c r="D439" s="1">
        <v>0.97196467367146</v>
      </c>
      <c r="E439" s="1">
        <v>1.00501841369661</v>
      </c>
      <c r="F439" s="1">
        <v>1.00501841369661</v>
      </c>
      <c r="G439" s="1">
        <v>1.00501841369661</v>
      </c>
      <c r="H439">
        <v>745</v>
      </c>
      <c r="I439">
        <v>679</v>
      </c>
      <c r="J439" s="16">
        <f t="shared" si="25"/>
        <v>8.6723619128287743E-3</v>
      </c>
      <c r="K439" s="16">
        <f t="shared" si="26"/>
        <v>3.2976879716274471E-2</v>
      </c>
      <c r="L439" s="16">
        <f t="shared" si="27"/>
        <v>3.2888690967932996E-2</v>
      </c>
      <c r="M439" s="16">
        <f t="shared" si="28"/>
        <v>3.2888690967932996E-2</v>
      </c>
    </row>
    <row r="440" spans="1:13" x14ac:dyDescent="0.3">
      <c r="A440" t="s">
        <v>447</v>
      </c>
      <c r="B440" s="1">
        <v>1.0237388703466801</v>
      </c>
      <c r="C440" s="1">
        <v>0.94527440732550805</v>
      </c>
      <c r="D440" s="1">
        <v>0.94542944735858603</v>
      </c>
      <c r="E440" s="1">
        <v>1.00194947375565</v>
      </c>
      <c r="F440" s="1">
        <v>1.00194947375565</v>
      </c>
      <c r="G440" s="1">
        <v>1.00194947375565</v>
      </c>
      <c r="H440">
        <v>261</v>
      </c>
      <c r="I440">
        <v>221</v>
      </c>
      <c r="J440" s="16">
        <f t="shared" si="25"/>
        <v>-2.1747001382570668E-2</v>
      </c>
      <c r="K440" s="16">
        <f t="shared" si="26"/>
        <v>5.6564794847093834E-2</v>
      </c>
      <c r="L440" s="16">
        <f t="shared" si="27"/>
        <v>5.641005647241628E-2</v>
      </c>
      <c r="M440" s="16">
        <f t="shared" si="28"/>
        <v>5.641005647241628E-2</v>
      </c>
    </row>
    <row r="441" spans="1:13" x14ac:dyDescent="0.3">
      <c r="A441" t="s">
        <v>448</v>
      </c>
      <c r="B441" s="1">
        <v>4.2939516156048798</v>
      </c>
      <c r="C441" s="1">
        <v>4.3118276171025096</v>
      </c>
      <c r="D441" s="1">
        <v>4.3152436923866997</v>
      </c>
      <c r="E441" s="1">
        <v>1.0156921957654701</v>
      </c>
      <c r="F441" s="1">
        <v>1.0156921957654701</v>
      </c>
      <c r="G441" s="1">
        <v>1.0156921957654701</v>
      </c>
      <c r="H441">
        <v>616</v>
      </c>
      <c r="I441">
        <v>614</v>
      </c>
      <c r="J441" s="16">
        <f t="shared" si="25"/>
        <v>-3.2276111143777864</v>
      </c>
      <c r="K441" s="16">
        <f t="shared" si="26"/>
        <v>-3.2452109360286339</v>
      </c>
      <c r="L441" s="16">
        <f t="shared" si="27"/>
        <v>-3.2485742337859977</v>
      </c>
      <c r="M441" s="16">
        <f t="shared" si="28"/>
        <v>3.2452109360286339</v>
      </c>
    </row>
    <row r="442" spans="1:13" x14ac:dyDescent="0.3">
      <c r="A442" t="s">
        <v>449</v>
      </c>
      <c r="B442" s="1">
        <v>0.95792657917146795</v>
      </c>
      <c r="C442" s="1">
        <v>0.96291000176216901</v>
      </c>
      <c r="D442" s="1">
        <v>0.95322666746881501</v>
      </c>
      <c r="E442" s="1">
        <v>1.01269514466292</v>
      </c>
      <c r="F442" s="1">
        <v>1.01269514466292</v>
      </c>
      <c r="G442" s="1">
        <v>1.01269514466292</v>
      </c>
      <c r="H442">
        <v>802</v>
      </c>
      <c r="I442">
        <v>712</v>
      </c>
      <c r="J442" s="16">
        <f t="shared" si="25"/>
        <v>5.4081986844799174E-2</v>
      </c>
      <c r="K442" s="16">
        <f t="shared" si="26"/>
        <v>4.9161036431474334E-2</v>
      </c>
      <c r="L442" s="16">
        <f t="shared" si="27"/>
        <v>5.8722980462100782E-2</v>
      </c>
      <c r="M442" s="16">
        <f t="shared" si="28"/>
        <v>5.4081986844799174E-2</v>
      </c>
    </row>
    <row r="443" spans="1:13" x14ac:dyDescent="0.3">
      <c r="A443" t="s">
        <v>450</v>
      </c>
      <c r="B443" s="1">
        <v>1.01120892612626</v>
      </c>
      <c r="C443" s="1">
        <v>1.0053915100510999</v>
      </c>
      <c r="D443" s="1">
        <v>1.0112089260844399</v>
      </c>
      <c r="E443" s="1">
        <v>1.0061127219653101</v>
      </c>
      <c r="F443" s="1">
        <v>1.0061127219653101</v>
      </c>
      <c r="G443" s="1">
        <v>1.0061127219653101</v>
      </c>
      <c r="H443">
        <v>174</v>
      </c>
      <c r="I443">
        <v>173</v>
      </c>
      <c r="J443" s="16">
        <f t="shared" si="25"/>
        <v>-5.0652417464666808E-3</v>
      </c>
      <c r="K443" s="16">
        <f t="shared" si="26"/>
        <v>7.1683013092345947E-4</v>
      </c>
      <c r="L443" s="16">
        <f t="shared" si="27"/>
        <v>-5.0652417049006594E-3</v>
      </c>
      <c r="M443" s="16">
        <f t="shared" si="28"/>
        <v>5.0652417049006594E-3</v>
      </c>
    </row>
    <row r="444" spans="1:13" x14ac:dyDescent="0.3">
      <c r="A444" t="s">
        <v>451</v>
      </c>
      <c r="B444" s="1">
        <v>0.98225654494152403</v>
      </c>
      <c r="C444" s="1">
        <v>0.97527727509927997</v>
      </c>
      <c r="D444" s="1">
        <v>0.97321242283201703</v>
      </c>
      <c r="E444" s="1">
        <v>1.0075966333099</v>
      </c>
      <c r="F444" s="1">
        <v>1.0075966333099</v>
      </c>
      <c r="G444" s="1">
        <v>1.0075966333099</v>
      </c>
      <c r="H444">
        <v>1446</v>
      </c>
      <c r="I444">
        <v>1423</v>
      </c>
      <c r="J444" s="16">
        <f t="shared" si="25"/>
        <v>2.5149040330886351E-2</v>
      </c>
      <c r="K444" s="16">
        <f t="shared" si="26"/>
        <v>3.2075690948323944E-2</v>
      </c>
      <c r="L444" s="16">
        <f t="shared" si="27"/>
        <v>3.4124975551905849E-2</v>
      </c>
      <c r="M444" s="16">
        <f t="shared" si="28"/>
        <v>3.2075690948323944E-2</v>
      </c>
    </row>
    <row r="445" spans="1:13" x14ac:dyDescent="0.3">
      <c r="A445" t="s">
        <v>452</v>
      </c>
      <c r="B445" s="1">
        <v>0.94922152663024395</v>
      </c>
      <c r="C445" s="1">
        <v>0.97657518775335295</v>
      </c>
      <c r="D445" s="1">
        <v>0.947238865948417</v>
      </c>
      <c r="E445" s="1">
        <v>1.014092652</v>
      </c>
      <c r="F445" s="1">
        <v>1.014092652</v>
      </c>
      <c r="G445" s="1">
        <v>1.014092652</v>
      </c>
      <c r="H445">
        <v>440</v>
      </c>
      <c r="I445">
        <v>400</v>
      </c>
      <c r="J445" s="16">
        <f t="shared" si="25"/>
        <v>6.3969623724042163E-2</v>
      </c>
      <c r="K445" s="16">
        <f t="shared" si="26"/>
        <v>3.6996091207893926E-2</v>
      </c>
      <c r="L445" s="16">
        <f t="shared" si="27"/>
        <v>6.5924731748853049E-2</v>
      </c>
      <c r="M445" s="16">
        <f t="shared" si="28"/>
        <v>6.3969623724042163E-2</v>
      </c>
    </row>
    <row r="446" spans="1:13" x14ac:dyDescent="0.3">
      <c r="A446" t="s">
        <v>453</v>
      </c>
      <c r="B446" s="1">
        <v>0.991188551446471</v>
      </c>
      <c r="C446" s="1">
        <v>0.98824705294137205</v>
      </c>
      <c r="D446" s="1">
        <v>0.991196206248254</v>
      </c>
      <c r="E446" s="1">
        <v>1.00618117536873</v>
      </c>
      <c r="F446" s="1">
        <v>1.00618117536873</v>
      </c>
      <c r="G446" s="1">
        <v>1.00618117536873</v>
      </c>
      <c r="H446">
        <v>680</v>
      </c>
      <c r="I446">
        <v>678</v>
      </c>
      <c r="J446" s="16">
        <f t="shared" si="25"/>
        <v>1.4900521187712248E-2</v>
      </c>
      <c r="K446" s="16">
        <f t="shared" si="26"/>
        <v>1.7823949469920962E-2</v>
      </c>
      <c r="L446" s="16">
        <f t="shared" si="27"/>
        <v>1.4892913410931697E-2</v>
      </c>
      <c r="M446" s="16">
        <f t="shared" si="28"/>
        <v>1.4900521187712248E-2</v>
      </c>
    </row>
    <row r="447" spans="1:13" x14ac:dyDescent="0.3">
      <c r="A447" t="s">
        <v>454</v>
      </c>
      <c r="B447" s="1">
        <v>0.93612068680828597</v>
      </c>
      <c r="C447" s="1">
        <v>0.92950641710242699</v>
      </c>
      <c r="D447" s="1">
        <v>0.94653193315525097</v>
      </c>
      <c r="E447" s="1">
        <v>1.0046212160541499</v>
      </c>
      <c r="F447" s="1">
        <v>1.0046212160541499</v>
      </c>
      <c r="G447" s="1">
        <v>1.0046212160541499</v>
      </c>
      <c r="H447">
        <v>615</v>
      </c>
      <c r="I447">
        <v>517</v>
      </c>
      <c r="J447" s="16">
        <f t="shared" si="25"/>
        <v>6.8185429643735182E-2</v>
      </c>
      <c r="K447" s="16">
        <f t="shared" si="26"/>
        <v>7.4769273982438128E-2</v>
      </c>
      <c r="L447" s="16">
        <f t="shared" si="27"/>
        <v>5.7822074599475567E-2</v>
      </c>
      <c r="M447" s="16">
        <f t="shared" si="28"/>
        <v>6.8185429643735182E-2</v>
      </c>
    </row>
    <row r="448" spans="1:13" x14ac:dyDescent="0.3">
      <c r="A448" t="s">
        <v>455</v>
      </c>
      <c r="B448" s="1"/>
      <c r="C448" s="1"/>
      <c r="D448" s="1"/>
      <c r="E448" s="1">
        <v>1.0338990267404999</v>
      </c>
      <c r="F448" s="1">
        <v>1.0338990267404999</v>
      </c>
      <c r="G448" s="1">
        <v>1.0338990267404999</v>
      </c>
      <c r="H448">
        <v>1296</v>
      </c>
      <c r="I448">
        <v>1264</v>
      </c>
      <c r="J448" s="16">
        <f t="shared" si="25"/>
        <v>1</v>
      </c>
      <c r="K448" s="16">
        <f t="shared" si="26"/>
        <v>1</v>
      </c>
      <c r="L448" s="16">
        <f t="shared" si="27"/>
        <v>1</v>
      </c>
      <c r="M448" s="16">
        <f t="shared" si="28"/>
        <v>1</v>
      </c>
    </row>
    <row r="449" spans="1:13" x14ac:dyDescent="0.3">
      <c r="A449" t="s">
        <v>456</v>
      </c>
      <c r="B449" s="1">
        <v>0.97144766673968097</v>
      </c>
      <c r="C449" s="1">
        <v>0.96552480671576502</v>
      </c>
      <c r="D449" s="1">
        <v>0.96262538356916205</v>
      </c>
      <c r="E449" s="1">
        <v>0.96072465170278598</v>
      </c>
      <c r="F449" s="1">
        <v>0.96072465170278598</v>
      </c>
      <c r="G449" s="1">
        <v>0.96072465170278598</v>
      </c>
      <c r="H449">
        <v>674</v>
      </c>
      <c r="I449">
        <v>646</v>
      </c>
      <c r="J449" s="16">
        <f t="shared" si="25"/>
        <v>-1.1161382210698501E-2</v>
      </c>
      <c r="K449" s="16">
        <f t="shared" si="26"/>
        <v>-4.9963899692500365E-3</v>
      </c>
      <c r="L449" s="16">
        <f t="shared" si="27"/>
        <v>-1.9784356142076905E-3</v>
      </c>
      <c r="M449" s="16">
        <f t="shared" si="28"/>
        <v>4.9963899692500365E-3</v>
      </c>
    </row>
    <row r="450" spans="1:13" x14ac:dyDescent="0.3">
      <c r="A450" t="s">
        <v>457</v>
      </c>
      <c r="B450" s="1">
        <v>0.98127740496395899</v>
      </c>
      <c r="C450" s="1">
        <v>0.99424071101322498</v>
      </c>
      <c r="D450" s="1">
        <v>0.99984364486989596</v>
      </c>
      <c r="E450" s="1">
        <v>1.0206440163147701</v>
      </c>
      <c r="F450" s="1">
        <v>1.0206440163147701</v>
      </c>
      <c r="G450" s="1">
        <v>1.0206440163147701</v>
      </c>
      <c r="H450">
        <v>534</v>
      </c>
      <c r="I450">
        <v>521</v>
      </c>
      <c r="J450" s="16">
        <f t="shared" si="25"/>
        <v>3.8570364124557117E-2</v>
      </c>
      <c r="K450" s="16">
        <f t="shared" si="26"/>
        <v>2.586925987856107E-2</v>
      </c>
      <c r="L450" s="16">
        <f t="shared" si="27"/>
        <v>2.0379653544609834E-2</v>
      </c>
      <c r="M450" s="16">
        <f t="shared" si="28"/>
        <v>2.586925987856107E-2</v>
      </c>
    </row>
    <row r="451" spans="1:13" x14ac:dyDescent="0.3">
      <c r="A451" t="s">
        <v>458</v>
      </c>
      <c r="B451" s="1">
        <v>0.99847866846878897</v>
      </c>
      <c r="C451" s="1">
        <v>2.0178167530729199</v>
      </c>
      <c r="D451" s="1">
        <v>1.05092109524952</v>
      </c>
      <c r="E451" s="1">
        <v>0.80408500000000005</v>
      </c>
      <c r="F451" s="1">
        <v>0.80408500000000005</v>
      </c>
      <c r="G451" s="1">
        <v>0.80408500000000005</v>
      </c>
      <c r="H451">
        <v>774</v>
      </c>
      <c r="I451">
        <v>750</v>
      </c>
      <c r="J451" s="16">
        <f t="shared" ref="J451:J514" si="29">(E451-B451)/E451</f>
        <v>-0.24175761078591057</v>
      </c>
      <c r="K451" s="16">
        <f t="shared" ref="K451:K514" si="30">(F451-C451)/F451</f>
        <v>-1.5094570264000939</v>
      </c>
      <c r="L451" s="16">
        <f t="shared" ref="L451:L514" si="31">(G451-D451)/G451</f>
        <v>-0.30697761461726059</v>
      </c>
      <c r="M451" s="16">
        <f t="shared" ref="M451:M514" si="32">ABS(MEDIAN(J451:L451))</f>
        <v>0.30697761461726059</v>
      </c>
    </row>
    <row r="452" spans="1:13" x14ac:dyDescent="0.3">
      <c r="A452" t="s">
        <v>459</v>
      </c>
      <c r="B452" s="1">
        <v>0.99539553219332599</v>
      </c>
      <c r="C452" s="1">
        <v>0.98494772090847904</v>
      </c>
      <c r="D452" s="1">
        <v>0.98151690722405804</v>
      </c>
      <c r="E452" s="1">
        <v>1.01157093599062</v>
      </c>
      <c r="F452" s="1">
        <v>1.01157093599062</v>
      </c>
      <c r="G452" s="1">
        <v>1.01157093599062</v>
      </c>
      <c r="H452">
        <v>1757</v>
      </c>
      <c r="I452">
        <v>1706</v>
      </c>
      <c r="J452" s="16">
        <f t="shared" si="29"/>
        <v>1.599038013231726E-2</v>
      </c>
      <c r="K452" s="16">
        <f t="shared" si="30"/>
        <v>2.6318683282521481E-2</v>
      </c>
      <c r="L452" s="16">
        <f t="shared" si="31"/>
        <v>2.9710253327049539E-2</v>
      </c>
      <c r="M452" s="16">
        <f t="shared" si="32"/>
        <v>2.6318683282521481E-2</v>
      </c>
    </row>
    <row r="453" spans="1:13" x14ac:dyDescent="0.3">
      <c r="A453" t="s">
        <v>460</v>
      </c>
      <c r="B453" s="1">
        <v>1.00567869177723</v>
      </c>
      <c r="C453" s="1">
        <v>1.00066707279671</v>
      </c>
      <c r="D453" s="1">
        <v>1.00571811315791</v>
      </c>
      <c r="E453" s="1">
        <v>0.96783340480274405</v>
      </c>
      <c r="F453" s="1">
        <v>0.96783340480274405</v>
      </c>
      <c r="G453" s="1">
        <v>0.96783340480274405</v>
      </c>
      <c r="H453">
        <v>597</v>
      </c>
      <c r="I453">
        <v>583</v>
      </c>
      <c r="J453" s="16">
        <f t="shared" si="29"/>
        <v>-3.9103100581860249E-2</v>
      </c>
      <c r="K453" s="16">
        <f t="shared" si="30"/>
        <v>-3.3924917068405808E-2</v>
      </c>
      <c r="L453" s="16">
        <f t="shared" si="31"/>
        <v>-3.9143832158683708E-2</v>
      </c>
      <c r="M453" s="16">
        <f t="shared" si="32"/>
        <v>3.9103100581860249E-2</v>
      </c>
    </row>
    <row r="454" spans="1:13" x14ac:dyDescent="0.3">
      <c r="A454" t="s">
        <v>461</v>
      </c>
      <c r="B454" s="1">
        <v>0.91995957364618197</v>
      </c>
      <c r="C454" s="1">
        <v>0.90010021634675996</v>
      </c>
      <c r="D454" s="1">
        <v>0.92660091348981499</v>
      </c>
      <c r="E454" s="1">
        <v>1.0067142914285701</v>
      </c>
      <c r="F454" s="1">
        <v>1.0067142914285701</v>
      </c>
      <c r="G454" s="1">
        <v>1.0067142914285701</v>
      </c>
      <c r="H454">
        <v>907</v>
      </c>
      <c r="I454">
        <v>700</v>
      </c>
      <c r="J454" s="16">
        <f t="shared" si="29"/>
        <v>8.6176106290573734E-2</v>
      </c>
      <c r="K454" s="16">
        <f t="shared" si="30"/>
        <v>0.10590301140010659</v>
      </c>
      <c r="L454" s="16">
        <f t="shared" si="31"/>
        <v>7.9579060932045378E-2</v>
      </c>
      <c r="M454" s="16">
        <f t="shared" si="32"/>
        <v>8.6176106290573734E-2</v>
      </c>
    </row>
    <row r="455" spans="1:13" x14ac:dyDescent="0.3">
      <c r="A455" t="s">
        <v>462</v>
      </c>
      <c r="B455" s="1">
        <v>1.00599653068393</v>
      </c>
      <c r="C455" s="1">
        <v>1.0056904874016901</v>
      </c>
      <c r="D455" s="1">
        <v>1.0059080536596801</v>
      </c>
      <c r="E455" s="1">
        <v>1.0297765763406901</v>
      </c>
      <c r="F455" s="1">
        <v>1.0297765763406901</v>
      </c>
      <c r="G455" s="1">
        <v>1.0297765763406901</v>
      </c>
      <c r="H455">
        <v>317</v>
      </c>
      <c r="I455">
        <v>317</v>
      </c>
      <c r="J455" s="16">
        <f t="shared" si="29"/>
        <v>2.3092432089747494E-2</v>
      </c>
      <c r="K455" s="16">
        <f t="shared" si="30"/>
        <v>2.3389625956136896E-2</v>
      </c>
      <c r="L455" s="16">
        <f t="shared" si="31"/>
        <v>2.3178350750438313E-2</v>
      </c>
      <c r="M455" s="16">
        <f t="shared" si="32"/>
        <v>2.3178350750438313E-2</v>
      </c>
    </row>
    <row r="456" spans="1:13" x14ac:dyDescent="0.3">
      <c r="A456" t="s">
        <v>463</v>
      </c>
      <c r="B456" s="1">
        <v>1.0039140522101599</v>
      </c>
      <c r="C456" s="1">
        <v>1.0040647782366301</v>
      </c>
      <c r="D456" s="1">
        <v>1.0039211006481701</v>
      </c>
      <c r="E456" s="1">
        <v>1.00474284257812</v>
      </c>
      <c r="F456" s="1">
        <v>1.00474284257812</v>
      </c>
      <c r="G456" s="1">
        <v>1.00474284257812</v>
      </c>
      <c r="H456">
        <v>512</v>
      </c>
      <c r="I456">
        <v>512</v>
      </c>
      <c r="J456" s="16">
        <f t="shared" si="29"/>
        <v>8.248781009809284E-4</v>
      </c>
      <c r="K456" s="16">
        <f t="shared" si="30"/>
        <v>6.7486356981652236E-4</v>
      </c>
      <c r="L456" s="16">
        <f t="shared" si="31"/>
        <v>8.1786293479964788E-4</v>
      </c>
      <c r="M456" s="16">
        <f t="shared" si="32"/>
        <v>8.1786293479964788E-4</v>
      </c>
    </row>
    <row r="457" spans="1:13" x14ac:dyDescent="0.3">
      <c r="A457" t="s">
        <v>464</v>
      </c>
      <c r="B457" s="1">
        <v>0.97288990207020798</v>
      </c>
      <c r="C457" s="1">
        <v>0.96693708080122598</v>
      </c>
      <c r="D457" s="1">
        <v>0.96911267476030105</v>
      </c>
      <c r="E457" s="1">
        <v>1.00776991214574</v>
      </c>
      <c r="F457" s="1">
        <v>1.00776991214574</v>
      </c>
      <c r="G457" s="1">
        <v>1.00776991214574</v>
      </c>
      <c r="H457">
        <v>505</v>
      </c>
      <c r="I457">
        <v>494</v>
      </c>
      <c r="J457" s="16">
        <f t="shared" si="29"/>
        <v>3.4611084985922629E-2</v>
      </c>
      <c r="K457" s="16">
        <f t="shared" si="30"/>
        <v>4.051800996675211E-2</v>
      </c>
      <c r="L457" s="16">
        <f t="shared" si="31"/>
        <v>3.8359189850320163E-2</v>
      </c>
      <c r="M457" s="16">
        <f t="shared" si="32"/>
        <v>3.8359189850320163E-2</v>
      </c>
    </row>
    <row r="458" spans="1:13" x14ac:dyDescent="0.3">
      <c r="A458" t="s">
        <v>465</v>
      </c>
      <c r="B458" s="1">
        <v>1.00226998381776</v>
      </c>
      <c r="C458" s="1">
        <v>1.0022508875285201</v>
      </c>
      <c r="D458" s="1">
        <v>1.0021085284206199</v>
      </c>
      <c r="E458" s="1">
        <v>1.0131414585526299</v>
      </c>
      <c r="F458" s="1">
        <v>1.0131414585526299</v>
      </c>
      <c r="G458" s="1">
        <v>1.0131414585526299</v>
      </c>
      <c r="H458">
        <v>152</v>
      </c>
      <c r="I458">
        <v>152</v>
      </c>
      <c r="J458" s="16">
        <f t="shared" si="29"/>
        <v>1.0730460828639746E-2</v>
      </c>
      <c r="K458" s="16">
        <f t="shared" si="30"/>
        <v>1.0749309419898845E-2</v>
      </c>
      <c r="L458" s="16">
        <f t="shared" si="31"/>
        <v>1.0889821987712963E-2</v>
      </c>
      <c r="M458" s="16">
        <f t="shared" si="32"/>
        <v>1.0749309419898845E-2</v>
      </c>
    </row>
    <row r="459" spans="1:13" x14ac:dyDescent="0.3">
      <c r="A459" t="s">
        <v>466</v>
      </c>
      <c r="B459" s="1">
        <v>1.00652106989699</v>
      </c>
      <c r="C459" s="1">
        <v>1.0065210699395699</v>
      </c>
      <c r="D459" s="1">
        <v>1.0065210699429701</v>
      </c>
      <c r="E459" s="1">
        <v>1.0021363654545401</v>
      </c>
      <c r="F459" s="1">
        <v>1.0021363654545401</v>
      </c>
      <c r="G459" s="1">
        <v>1.0021363654545401</v>
      </c>
      <c r="H459">
        <v>110</v>
      </c>
      <c r="I459">
        <v>110</v>
      </c>
      <c r="J459" s="16">
        <f t="shared" si="29"/>
        <v>-4.3753570807313199E-3</v>
      </c>
      <c r="K459" s="16">
        <f t="shared" si="30"/>
        <v>-4.3753571232204866E-3</v>
      </c>
      <c r="L459" s="16">
        <f t="shared" si="31"/>
        <v>-4.3753571266134071E-3</v>
      </c>
      <c r="M459" s="16">
        <f t="shared" si="32"/>
        <v>4.3753571232204866E-3</v>
      </c>
    </row>
    <row r="460" spans="1:13" x14ac:dyDescent="0.3">
      <c r="A460" t="s">
        <v>467</v>
      </c>
      <c r="B460" s="1">
        <v>0.94966408924065804</v>
      </c>
      <c r="C460" s="1">
        <v>0.99362637880411497</v>
      </c>
      <c r="D460" s="1">
        <v>0.95162139935380896</v>
      </c>
      <c r="E460" s="1">
        <v>1.0037075274271801</v>
      </c>
      <c r="F460" s="1">
        <v>1.0037075274271801</v>
      </c>
      <c r="G460" s="1">
        <v>1.0037075274271801</v>
      </c>
      <c r="H460">
        <v>466</v>
      </c>
      <c r="I460">
        <v>412</v>
      </c>
      <c r="J460" s="16">
        <f t="shared" si="29"/>
        <v>5.3843810781266578E-2</v>
      </c>
      <c r="K460" s="16">
        <f t="shared" si="30"/>
        <v>1.0043910549227679E-2</v>
      </c>
      <c r="L460" s="16">
        <f t="shared" si="31"/>
        <v>5.1893730643710848E-2</v>
      </c>
      <c r="M460" s="16">
        <f t="shared" si="32"/>
        <v>5.1893730643710848E-2</v>
      </c>
    </row>
    <row r="461" spans="1:13" x14ac:dyDescent="0.3">
      <c r="A461" t="s">
        <v>468</v>
      </c>
      <c r="B461" s="1">
        <v>0.99749704402609496</v>
      </c>
      <c r="C461" s="1">
        <v>0.997497776289067</v>
      </c>
      <c r="D461" s="1">
        <v>0.99867398830395504</v>
      </c>
      <c r="E461" s="1">
        <v>1.0085677156249999</v>
      </c>
      <c r="F461" s="1">
        <v>1.0085677156249999</v>
      </c>
      <c r="G461" s="1">
        <v>1.0085677156249999</v>
      </c>
      <c r="H461">
        <v>866</v>
      </c>
      <c r="I461">
        <v>864</v>
      </c>
      <c r="J461" s="16">
        <f t="shared" si="29"/>
        <v>1.097662698041506E-2</v>
      </c>
      <c r="K461" s="16">
        <f t="shared" si="30"/>
        <v>1.097590093796824E-2</v>
      </c>
      <c r="L461" s="16">
        <f t="shared" si="31"/>
        <v>9.8096807658708627E-3</v>
      </c>
      <c r="M461" s="16">
        <f t="shared" si="32"/>
        <v>1.097590093796824E-2</v>
      </c>
    </row>
    <row r="462" spans="1:13" x14ac:dyDescent="0.3">
      <c r="A462" t="s">
        <v>469</v>
      </c>
      <c r="B462" s="1">
        <v>0.97161874307954399</v>
      </c>
      <c r="C462" s="1">
        <v>1.47197425067552</v>
      </c>
      <c r="D462" s="1">
        <v>1.10763949762967</v>
      </c>
      <c r="E462" s="1">
        <v>1.0064634701970401</v>
      </c>
      <c r="F462" s="1">
        <v>1.0064634701970401</v>
      </c>
      <c r="G462" s="1">
        <v>1.0064634701970401</v>
      </c>
      <c r="H462">
        <v>521</v>
      </c>
      <c r="I462">
        <v>406</v>
      </c>
      <c r="J462" s="16">
        <f t="shared" si="29"/>
        <v>3.4620955602764569E-2</v>
      </c>
      <c r="K462" s="16">
        <f t="shared" si="30"/>
        <v>-0.46252128791852198</v>
      </c>
      <c r="L462" s="16">
        <f t="shared" si="31"/>
        <v>-0.10052627882542242</v>
      </c>
      <c r="M462" s="16">
        <f t="shared" si="32"/>
        <v>0.10052627882542242</v>
      </c>
    </row>
    <row r="463" spans="1:13" x14ac:dyDescent="0.3">
      <c r="A463" t="s">
        <v>470</v>
      </c>
      <c r="B463" s="1">
        <v>0.99822191917645597</v>
      </c>
      <c r="C463" s="1">
        <v>0.99822191917831904</v>
      </c>
      <c r="D463" s="1">
        <v>0.99822191917825898</v>
      </c>
      <c r="E463" s="1">
        <v>1.00694093417721</v>
      </c>
      <c r="F463" s="1">
        <v>1.00694093417721</v>
      </c>
      <c r="G463" s="1">
        <v>1.00694093417721</v>
      </c>
      <c r="H463">
        <v>237</v>
      </c>
      <c r="I463">
        <v>237</v>
      </c>
      <c r="J463" s="16">
        <f t="shared" si="29"/>
        <v>8.6589140482986448E-3</v>
      </c>
      <c r="K463" s="16">
        <f t="shared" si="30"/>
        <v>8.6589140464484217E-3</v>
      </c>
      <c r="L463" s="16">
        <f t="shared" si="31"/>
        <v>8.6589140465080702E-3</v>
      </c>
      <c r="M463" s="16">
        <f t="shared" si="32"/>
        <v>8.6589140465080702E-3</v>
      </c>
    </row>
    <row r="464" spans="1:13" x14ac:dyDescent="0.3">
      <c r="A464" t="s">
        <v>471</v>
      </c>
      <c r="B464" s="1">
        <v>0.99969528181430201</v>
      </c>
      <c r="C464" s="1">
        <v>0.99631296999108199</v>
      </c>
      <c r="D464" s="1">
        <v>0.999695281820842</v>
      </c>
      <c r="E464" s="1">
        <v>1.0038502857627101</v>
      </c>
      <c r="F464" s="1">
        <v>1.0038502857627101</v>
      </c>
      <c r="G464" s="1">
        <v>1.0038502857627101</v>
      </c>
      <c r="H464">
        <v>296</v>
      </c>
      <c r="I464">
        <v>295</v>
      </c>
      <c r="J464" s="16">
        <f t="shared" si="29"/>
        <v>4.1390673562952231E-3</v>
      </c>
      <c r="K464" s="16">
        <f t="shared" si="30"/>
        <v>7.5084062618972578E-3</v>
      </c>
      <c r="L464" s="16">
        <f t="shared" si="31"/>
        <v>4.1390673497803164E-3</v>
      </c>
      <c r="M464" s="16">
        <f t="shared" si="32"/>
        <v>4.1390673562952231E-3</v>
      </c>
    </row>
    <row r="465" spans="1:13" x14ac:dyDescent="0.3">
      <c r="A465" t="s">
        <v>472</v>
      </c>
      <c r="B465" s="1">
        <v>0.98444153201474005</v>
      </c>
      <c r="C465" s="1">
        <v>1.3549167164507601</v>
      </c>
      <c r="D465" s="1">
        <v>0.98211369760623102</v>
      </c>
      <c r="E465" s="1">
        <v>1.00812183771016</v>
      </c>
      <c r="F465" s="1">
        <v>1.00812183771016</v>
      </c>
      <c r="G465" s="1">
        <v>1.00812183771016</v>
      </c>
      <c r="H465">
        <v>1291</v>
      </c>
      <c r="I465">
        <v>1249</v>
      </c>
      <c r="J465" s="16">
        <f t="shared" si="29"/>
        <v>2.3489527564651475E-2</v>
      </c>
      <c r="K465" s="16">
        <f t="shared" si="30"/>
        <v>-0.34400095878123949</v>
      </c>
      <c r="L465" s="16">
        <f t="shared" si="31"/>
        <v>2.5798607996632254E-2</v>
      </c>
      <c r="M465" s="16">
        <f t="shared" si="32"/>
        <v>2.3489527564651475E-2</v>
      </c>
    </row>
    <row r="466" spans="1:13" x14ac:dyDescent="0.3">
      <c r="A466" t="s">
        <v>473</v>
      </c>
      <c r="B466" s="1">
        <v>0.99562615576447799</v>
      </c>
      <c r="C466" s="1">
        <v>0.99560804644587497</v>
      </c>
      <c r="D466" s="1">
        <v>0.99558337182796897</v>
      </c>
      <c r="E466" s="1">
        <v>0.96390759532595305</v>
      </c>
      <c r="F466" s="1">
        <v>0.96390759532595305</v>
      </c>
      <c r="G466" s="1">
        <v>0.96390759532595305</v>
      </c>
      <c r="H466">
        <v>813</v>
      </c>
      <c r="I466">
        <v>813</v>
      </c>
      <c r="J466" s="16">
        <f t="shared" si="29"/>
        <v>-3.2906225236039414E-2</v>
      </c>
      <c r="K466" s="16">
        <f t="shared" si="30"/>
        <v>-3.2887437834953633E-2</v>
      </c>
      <c r="L466" s="16">
        <f t="shared" si="31"/>
        <v>-3.2861839304528462E-2</v>
      </c>
      <c r="M466" s="16">
        <f t="shared" si="32"/>
        <v>3.2887437834953633E-2</v>
      </c>
    </row>
    <row r="467" spans="1:13" x14ac:dyDescent="0.3">
      <c r="A467" t="s">
        <v>474</v>
      </c>
      <c r="B467" s="1">
        <v>0.95436066746814596</v>
      </c>
      <c r="C467" s="1">
        <v>0.96625886289356799</v>
      </c>
      <c r="D467" s="1">
        <v>0.96726682641741302</v>
      </c>
      <c r="E467" s="1">
        <v>0.97507182670270198</v>
      </c>
      <c r="F467" s="1">
        <v>0.97507182670270198</v>
      </c>
      <c r="G467" s="1">
        <v>0.97507182670270198</v>
      </c>
      <c r="H467">
        <v>996</v>
      </c>
      <c r="I467">
        <v>925</v>
      </c>
      <c r="J467" s="16">
        <f t="shared" si="29"/>
        <v>2.1240649834579645E-2</v>
      </c>
      <c r="K467" s="16">
        <f t="shared" si="30"/>
        <v>9.0382714050265024E-3</v>
      </c>
      <c r="L467" s="16">
        <f t="shared" si="31"/>
        <v>8.0045388160606742E-3</v>
      </c>
      <c r="M467" s="16">
        <f t="shared" si="32"/>
        <v>9.0382714050265024E-3</v>
      </c>
    </row>
    <row r="468" spans="1:13" x14ac:dyDescent="0.3">
      <c r="A468" t="s">
        <v>475</v>
      </c>
      <c r="B468" s="1">
        <v>0.95360597219818599</v>
      </c>
      <c r="C468" s="1">
        <v>0.95972651539882103</v>
      </c>
      <c r="D468" s="1">
        <v>0.95799624259098504</v>
      </c>
      <c r="E468" s="1">
        <v>1.0090367486007901</v>
      </c>
      <c r="F468" s="1">
        <v>1.0090367486007901</v>
      </c>
      <c r="G468" s="1">
        <v>1.0090367486007901</v>
      </c>
      <c r="H468">
        <v>1813</v>
      </c>
      <c r="I468">
        <v>1751</v>
      </c>
      <c r="J468" s="16">
        <f t="shared" si="29"/>
        <v>5.4934348505610686E-2</v>
      </c>
      <c r="K468" s="16">
        <f t="shared" si="30"/>
        <v>4.8868619770634211E-2</v>
      </c>
      <c r="L468" s="16">
        <f t="shared" si="31"/>
        <v>5.0583396571613294E-2</v>
      </c>
      <c r="M468" s="16">
        <f t="shared" si="32"/>
        <v>5.0583396571613294E-2</v>
      </c>
    </row>
    <row r="469" spans="1:13" x14ac:dyDescent="0.3">
      <c r="A469" t="s">
        <v>476</v>
      </c>
      <c r="B469" s="1">
        <v>1.02596261148135</v>
      </c>
      <c r="C469" s="1">
        <v>1.0114483047345499</v>
      </c>
      <c r="D469" s="1">
        <v>1.0073579816320899</v>
      </c>
      <c r="E469" s="1">
        <v>1.00422978387096</v>
      </c>
      <c r="F469" s="1">
        <v>1.00422978387096</v>
      </c>
      <c r="G469" s="1">
        <v>1.00422978387096</v>
      </c>
      <c r="H469">
        <v>805</v>
      </c>
      <c r="I469">
        <v>713</v>
      </c>
      <c r="J469" s="16">
        <f t="shared" si="29"/>
        <v>-2.1641289632555526E-2</v>
      </c>
      <c r="K469" s="16">
        <f t="shared" si="30"/>
        <v>-7.1881166835792015E-3</v>
      </c>
      <c r="L469" s="16">
        <f t="shared" si="31"/>
        <v>-3.1150218917744216E-3</v>
      </c>
      <c r="M469" s="16">
        <f t="shared" si="32"/>
        <v>7.1881166835792015E-3</v>
      </c>
    </row>
    <row r="470" spans="1:13" x14ac:dyDescent="0.3">
      <c r="A470" t="s">
        <v>477</v>
      </c>
      <c r="B470" s="1">
        <v>1.2040887089363901</v>
      </c>
      <c r="C470" s="1">
        <v>0.95719435208641801</v>
      </c>
      <c r="D470" s="1">
        <v>0.87355630668992501</v>
      </c>
      <c r="E470" s="1">
        <v>1.0050694487588601</v>
      </c>
      <c r="F470" s="1">
        <v>1.0050694487588601</v>
      </c>
      <c r="G470" s="1">
        <v>1.0050694487588601</v>
      </c>
      <c r="H470">
        <v>782</v>
      </c>
      <c r="I470">
        <v>564</v>
      </c>
      <c r="J470" s="16">
        <f t="shared" si="29"/>
        <v>-0.19801543109612463</v>
      </c>
      <c r="K470" s="16">
        <f t="shared" si="30"/>
        <v>4.7633620474248857E-2</v>
      </c>
      <c r="L470" s="16">
        <f t="shared" si="31"/>
        <v>0.13084980568391366</v>
      </c>
      <c r="M470" s="16">
        <f t="shared" si="32"/>
        <v>4.7633620474248857E-2</v>
      </c>
    </row>
    <row r="471" spans="1:13" x14ac:dyDescent="0.3">
      <c r="A471" t="s">
        <v>478</v>
      </c>
      <c r="B471" s="1">
        <v>0.95315358360024505</v>
      </c>
      <c r="C471" s="1">
        <v>0.94011176645352601</v>
      </c>
      <c r="D471" s="1">
        <v>0.93716612233249796</v>
      </c>
      <c r="E471" s="1">
        <v>1.01370253787638</v>
      </c>
      <c r="F471" s="1">
        <v>1.01370253787638</v>
      </c>
      <c r="G471" s="1">
        <v>1.01370253787638</v>
      </c>
      <c r="H471">
        <v>752</v>
      </c>
      <c r="I471">
        <v>631</v>
      </c>
      <c r="J471" s="16">
        <f t="shared" si="29"/>
        <v>5.9730494907292833E-2</v>
      </c>
      <c r="K471" s="16">
        <f t="shared" si="30"/>
        <v>7.259602168602669E-2</v>
      </c>
      <c r="L471" s="16">
        <f t="shared" si="31"/>
        <v>7.5501848603653748E-2</v>
      </c>
      <c r="M471" s="16">
        <f t="shared" si="32"/>
        <v>7.259602168602669E-2</v>
      </c>
    </row>
    <row r="472" spans="1:13" x14ac:dyDescent="0.3">
      <c r="A472" t="s">
        <v>479</v>
      </c>
      <c r="B472" s="1">
        <v>1.0011268300218901</v>
      </c>
      <c r="C472" s="1">
        <v>0.99747536931244696</v>
      </c>
      <c r="D472" s="1">
        <v>1.00107622729334</v>
      </c>
      <c r="E472" s="1">
        <v>1.0013104100371699</v>
      </c>
      <c r="F472" s="1">
        <v>1.0013104100371699</v>
      </c>
      <c r="G472" s="1">
        <v>1.0013104100371699</v>
      </c>
      <c r="H472">
        <v>270</v>
      </c>
      <c r="I472">
        <v>269</v>
      </c>
      <c r="J472" s="16">
        <f t="shared" si="29"/>
        <v>1.8333976501156592E-4</v>
      </c>
      <c r="K472" s="16">
        <f t="shared" si="30"/>
        <v>3.830021825680009E-3</v>
      </c>
      <c r="L472" s="16">
        <f t="shared" si="31"/>
        <v>2.3387627001822604E-4</v>
      </c>
      <c r="M472" s="16">
        <f t="shared" si="32"/>
        <v>2.3387627001822604E-4</v>
      </c>
    </row>
    <row r="473" spans="1:13" x14ac:dyDescent="0.3">
      <c r="A473" t="s">
        <v>480</v>
      </c>
      <c r="B473" s="1">
        <v>0.96240075993166996</v>
      </c>
      <c r="C473" s="1">
        <v>0.97733841838665103</v>
      </c>
      <c r="D473" s="1">
        <v>0.97484865322366199</v>
      </c>
      <c r="E473" s="1">
        <v>1.00799721740585</v>
      </c>
      <c r="F473" s="1">
        <v>1.00799721740585</v>
      </c>
      <c r="G473" s="1">
        <v>1.00799721740585</v>
      </c>
      <c r="H473">
        <v>1216</v>
      </c>
      <c r="I473">
        <v>1195</v>
      </c>
      <c r="J473" s="16">
        <f t="shared" si="29"/>
        <v>4.5234705698420155E-2</v>
      </c>
      <c r="K473" s="16">
        <f t="shared" si="30"/>
        <v>3.0415559179916698E-2</v>
      </c>
      <c r="L473" s="16">
        <f t="shared" si="31"/>
        <v>3.2885571120422473E-2</v>
      </c>
      <c r="M473" s="16">
        <f t="shared" si="32"/>
        <v>3.2885571120422473E-2</v>
      </c>
    </row>
    <row r="474" spans="1:13" x14ac:dyDescent="0.3">
      <c r="A474" t="s">
        <v>481</v>
      </c>
      <c r="B474" s="1">
        <v>0.91871339066000801</v>
      </c>
      <c r="C474" s="1">
        <v>0.97840600468709804</v>
      </c>
      <c r="D474" s="1">
        <v>0.94250805054201403</v>
      </c>
      <c r="E474" s="1">
        <v>1.0105070049418601</v>
      </c>
      <c r="F474" s="1">
        <v>1.0105070049418601</v>
      </c>
      <c r="G474" s="1">
        <v>1.0105070049418601</v>
      </c>
      <c r="H474">
        <v>842</v>
      </c>
      <c r="I474">
        <v>688</v>
      </c>
      <c r="J474" s="16">
        <f t="shared" si="29"/>
        <v>9.0839166708333155E-2</v>
      </c>
      <c r="K474" s="16">
        <f t="shared" si="30"/>
        <v>3.1767221897297963E-2</v>
      </c>
      <c r="L474" s="16">
        <f t="shared" si="31"/>
        <v>6.7291917886069863E-2</v>
      </c>
      <c r="M474" s="16">
        <f t="shared" si="32"/>
        <v>6.7291917886069863E-2</v>
      </c>
    </row>
    <row r="475" spans="1:13" x14ac:dyDescent="0.3">
      <c r="A475" t="s">
        <v>482</v>
      </c>
      <c r="B475" s="1">
        <v>0.99765416974258303</v>
      </c>
      <c r="C475" s="1">
        <v>0.97325796147979304</v>
      </c>
      <c r="D475" s="1">
        <v>0.982677555026223</v>
      </c>
      <c r="E475" s="1">
        <v>1.0035953806640601</v>
      </c>
      <c r="F475" s="1">
        <v>1.0035953806640601</v>
      </c>
      <c r="G475" s="1">
        <v>1.0035953806640601</v>
      </c>
      <c r="H475">
        <v>533</v>
      </c>
      <c r="I475">
        <v>512</v>
      </c>
      <c r="J475" s="16">
        <f t="shared" si="29"/>
        <v>5.9199265320908998E-3</v>
      </c>
      <c r="K475" s="16">
        <f t="shared" si="30"/>
        <v>3.0228735373605771E-2</v>
      </c>
      <c r="L475" s="16">
        <f t="shared" si="31"/>
        <v>2.0842887523053497E-2</v>
      </c>
      <c r="M475" s="16">
        <f t="shared" si="32"/>
        <v>2.0842887523053497E-2</v>
      </c>
    </row>
    <row r="476" spans="1:13" x14ac:dyDescent="0.3">
      <c r="A476" t="s">
        <v>483</v>
      </c>
      <c r="B476" s="1">
        <v>0.97386832187637296</v>
      </c>
      <c r="C476" s="1">
        <v>0.975372021203184</v>
      </c>
      <c r="D476" s="1">
        <v>0.97478248109533505</v>
      </c>
      <c r="E476" s="1">
        <v>0.91453033838973097</v>
      </c>
      <c r="F476" s="1">
        <v>0.91453033838973097</v>
      </c>
      <c r="G476" s="1">
        <v>0.91453033838973097</v>
      </c>
      <c r="H476">
        <v>897</v>
      </c>
      <c r="I476">
        <v>857</v>
      </c>
      <c r="J476" s="16">
        <f t="shared" si="29"/>
        <v>-6.4883559348202682E-2</v>
      </c>
      <c r="K476" s="16">
        <f t="shared" si="30"/>
        <v>-6.6527790560322667E-2</v>
      </c>
      <c r="L476" s="16">
        <f t="shared" si="31"/>
        <v>-6.5883153544904469E-2</v>
      </c>
      <c r="M476" s="16">
        <f t="shared" si="32"/>
        <v>6.5883153544904469E-2</v>
      </c>
    </row>
    <row r="477" spans="1:13" x14ac:dyDescent="0.3">
      <c r="A477" t="s">
        <v>484</v>
      </c>
      <c r="B477" s="1">
        <v>1.0004504536373899</v>
      </c>
      <c r="C477" s="1">
        <v>0.99224371158208902</v>
      </c>
      <c r="D477" s="1">
        <v>1.12337668997325</v>
      </c>
      <c r="E477" s="1">
        <v>1.0043761675977601</v>
      </c>
      <c r="F477" s="1">
        <v>1.0043761675977601</v>
      </c>
      <c r="G477" s="1">
        <v>1.0043761675977601</v>
      </c>
      <c r="H477">
        <v>368</v>
      </c>
      <c r="I477">
        <v>358</v>
      </c>
      <c r="J477" s="16">
        <f t="shared" si="29"/>
        <v>3.9086092312997939E-3</v>
      </c>
      <c r="K477" s="16">
        <f t="shared" si="30"/>
        <v>1.2079593689174361E-2</v>
      </c>
      <c r="L477" s="16">
        <f t="shared" si="31"/>
        <v>-0.11848202517599778</v>
      </c>
      <c r="M477" s="16">
        <f t="shared" si="32"/>
        <v>3.9086092312997939E-3</v>
      </c>
    </row>
    <row r="478" spans="1:13" x14ac:dyDescent="0.3">
      <c r="A478" t="s">
        <v>485</v>
      </c>
      <c r="B478" s="1">
        <v>0.99773389277084601</v>
      </c>
      <c r="C478" s="1">
        <v>0.99773417347303095</v>
      </c>
      <c r="D478" s="1">
        <v>0.997726698426041</v>
      </c>
      <c r="E478" s="1">
        <v>1.00299510058823</v>
      </c>
      <c r="F478" s="1">
        <v>1.00299510058823</v>
      </c>
      <c r="G478" s="1">
        <v>1.00299510058823</v>
      </c>
      <c r="H478">
        <v>170</v>
      </c>
      <c r="I478">
        <v>170</v>
      </c>
      <c r="J478" s="16">
        <f t="shared" si="29"/>
        <v>5.2454970261554424E-3</v>
      </c>
      <c r="K478" s="16">
        <f t="shared" si="30"/>
        <v>5.2452171621912257E-3</v>
      </c>
      <c r="L478" s="16">
        <f t="shared" si="31"/>
        <v>5.2526698875191586E-3</v>
      </c>
      <c r="M478" s="16">
        <f t="shared" si="32"/>
        <v>5.2454970261554424E-3</v>
      </c>
    </row>
    <row r="479" spans="1:13" x14ac:dyDescent="0.3">
      <c r="A479" t="s">
        <v>486</v>
      </c>
      <c r="B479" s="1">
        <v>1.1474451351511901</v>
      </c>
      <c r="C479" s="1">
        <v>1.1405909540754899</v>
      </c>
      <c r="D479" s="1">
        <v>1.1246056407464999</v>
      </c>
      <c r="E479" s="1">
        <v>1.0031678948529399</v>
      </c>
      <c r="F479" s="1">
        <v>1.0031678948529399</v>
      </c>
      <c r="G479" s="1">
        <v>1.0031678948529399</v>
      </c>
      <c r="H479">
        <v>621</v>
      </c>
      <c r="I479">
        <v>544</v>
      </c>
      <c r="J479" s="16">
        <f t="shared" si="29"/>
        <v>-0.14382162850157859</v>
      </c>
      <c r="K479" s="16">
        <f t="shared" si="30"/>
        <v>-0.13698909218251615</v>
      </c>
      <c r="L479" s="16">
        <f t="shared" si="31"/>
        <v>-0.12105425873040156</v>
      </c>
      <c r="M479" s="16">
        <f t="shared" si="32"/>
        <v>0.13698909218251615</v>
      </c>
    </row>
    <row r="480" spans="1:13" x14ac:dyDescent="0.3">
      <c r="A480" t="s">
        <v>487</v>
      </c>
      <c r="B480" s="1">
        <v>0.92518655198879796</v>
      </c>
      <c r="C480" s="1">
        <v>0.92351871667222596</v>
      </c>
      <c r="D480" s="1">
        <v>0.90950747700574797</v>
      </c>
      <c r="E480" s="1">
        <v>1.0116861807291599</v>
      </c>
      <c r="F480" s="1">
        <v>1.0116861807291599</v>
      </c>
      <c r="G480" s="1">
        <v>1.0116861807291599</v>
      </c>
      <c r="H480">
        <v>498</v>
      </c>
      <c r="I480">
        <v>384</v>
      </c>
      <c r="J480" s="16">
        <f t="shared" si="29"/>
        <v>8.5500454971143794E-2</v>
      </c>
      <c r="K480" s="16">
        <f t="shared" si="30"/>
        <v>8.7149024802719369E-2</v>
      </c>
      <c r="L480" s="16">
        <f t="shared" si="31"/>
        <v>0.10099841795779792</v>
      </c>
      <c r="M480" s="16">
        <f t="shared" si="32"/>
        <v>8.7149024802719369E-2</v>
      </c>
    </row>
    <row r="481" spans="1:13" x14ac:dyDescent="0.3">
      <c r="A481" t="s">
        <v>488</v>
      </c>
      <c r="B481" s="1">
        <v>1.0245493784542701</v>
      </c>
      <c r="C481" s="1">
        <v>0.95942739817641598</v>
      </c>
      <c r="D481" s="1">
        <v>1.00412775839512</v>
      </c>
      <c r="E481" s="1">
        <v>1.00483188606676</v>
      </c>
      <c r="F481" s="1">
        <v>1.00483188606676</v>
      </c>
      <c r="G481" s="1">
        <v>1.00483188606676</v>
      </c>
      <c r="H481">
        <v>752</v>
      </c>
      <c r="I481">
        <v>689</v>
      </c>
      <c r="J481" s="16">
        <f t="shared" si="29"/>
        <v>-1.9622677843843892E-2</v>
      </c>
      <c r="K481" s="16">
        <f t="shared" si="30"/>
        <v>4.5186153544621278E-2</v>
      </c>
      <c r="L481" s="16">
        <f t="shared" si="31"/>
        <v>7.0074176725835229E-4</v>
      </c>
      <c r="M481" s="16">
        <f t="shared" si="32"/>
        <v>7.0074176725835229E-4</v>
      </c>
    </row>
    <row r="482" spans="1:13" x14ac:dyDescent="0.3">
      <c r="A482" t="s">
        <v>489</v>
      </c>
      <c r="B482" s="1">
        <v>1.0013896047038999</v>
      </c>
      <c r="C482" s="1">
        <v>1.00133193812675</v>
      </c>
      <c r="D482" s="1">
        <v>1.001310353022</v>
      </c>
      <c r="E482" s="1">
        <v>1.00087686641791</v>
      </c>
      <c r="F482" s="1">
        <v>1.00087686641791</v>
      </c>
      <c r="G482" s="1">
        <v>1.00087686641791</v>
      </c>
      <c r="H482">
        <v>134</v>
      </c>
      <c r="I482">
        <v>134</v>
      </c>
      <c r="J482" s="16">
        <f t="shared" si="29"/>
        <v>-5.1228907690216896E-4</v>
      </c>
      <c r="K482" s="16">
        <f t="shared" si="30"/>
        <v>-4.5467302133653166E-4</v>
      </c>
      <c r="L482" s="16">
        <f t="shared" si="31"/>
        <v>-4.3310682725784875E-4</v>
      </c>
      <c r="M482" s="16">
        <f t="shared" si="32"/>
        <v>4.5467302133653166E-4</v>
      </c>
    </row>
    <row r="483" spans="1:13" x14ac:dyDescent="0.3">
      <c r="A483" t="s">
        <v>490</v>
      </c>
      <c r="B483" s="1">
        <v>0.99574277339116701</v>
      </c>
      <c r="C483" s="1">
        <v>0.99574915354998705</v>
      </c>
      <c r="D483" s="1">
        <v>0.97429691987520495</v>
      </c>
      <c r="E483" s="1">
        <v>1.00351386148796</v>
      </c>
      <c r="F483" s="1">
        <v>1.00351386148796</v>
      </c>
      <c r="G483" s="1">
        <v>1.00351386148796</v>
      </c>
      <c r="H483">
        <v>467</v>
      </c>
      <c r="I483">
        <v>457</v>
      </c>
      <c r="J483" s="16">
        <f t="shared" si="29"/>
        <v>7.7438771849851328E-3</v>
      </c>
      <c r="K483" s="16">
        <f t="shared" si="30"/>
        <v>7.7375193666580589E-3</v>
      </c>
      <c r="L483" s="16">
        <f t="shared" si="31"/>
        <v>2.9114636811726342E-2</v>
      </c>
      <c r="M483" s="16">
        <f t="shared" si="32"/>
        <v>7.7438771849851328E-3</v>
      </c>
    </row>
    <row r="484" spans="1:13" x14ac:dyDescent="0.3">
      <c r="A484" t="s">
        <v>491</v>
      </c>
      <c r="B484" s="1">
        <v>1.0398964303795699</v>
      </c>
      <c r="C484" s="1">
        <v>0.97321754599118704</v>
      </c>
      <c r="D484" s="1">
        <v>1.0210453065463001</v>
      </c>
      <c r="E484" s="1">
        <v>1.00536767329796</v>
      </c>
      <c r="F484" s="1">
        <v>1.00536767329796</v>
      </c>
      <c r="G484" s="1">
        <v>1.00536767329796</v>
      </c>
      <c r="H484">
        <v>1207</v>
      </c>
      <c r="I484">
        <v>1131</v>
      </c>
      <c r="J484" s="16">
        <f t="shared" si="29"/>
        <v>-3.4344407522417623E-2</v>
      </c>
      <c r="K484" s="16">
        <f t="shared" si="30"/>
        <v>3.197847728812403E-2</v>
      </c>
      <c r="L484" s="16">
        <f t="shared" si="31"/>
        <v>-1.5593930125992606E-2</v>
      </c>
      <c r="M484" s="16">
        <f t="shared" si="32"/>
        <v>1.5593930125992606E-2</v>
      </c>
    </row>
    <row r="485" spans="1:13" x14ac:dyDescent="0.3">
      <c r="A485" t="s">
        <v>492</v>
      </c>
      <c r="B485" s="1">
        <v>1.0008769603866201</v>
      </c>
      <c r="C485" s="1">
        <v>0.98666894875297795</v>
      </c>
      <c r="D485" s="1">
        <v>1.00090203874919</v>
      </c>
      <c r="E485" s="1">
        <v>1.0030273777777701</v>
      </c>
      <c r="F485" s="1">
        <v>1.0030273777777701</v>
      </c>
      <c r="G485" s="1">
        <v>1.0030273777777701</v>
      </c>
      <c r="H485">
        <v>210</v>
      </c>
      <c r="I485">
        <v>207</v>
      </c>
      <c r="J485" s="16">
        <f t="shared" si="29"/>
        <v>2.1439269144519863E-3</v>
      </c>
      <c r="K485" s="16">
        <f t="shared" si="30"/>
        <v>1.6309055353039906E-2</v>
      </c>
      <c r="L485" s="16">
        <f t="shared" si="31"/>
        <v>2.1189242444097267E-3</v>
      </c>
      <c r="M485" s="16">
        <f t="shared" si="32"/>
        <v>2.1439269144519863E-3</v>
      </c>
    </row>
    <row r="486" spans="1:13" x14ac:dyDescent="0.3">
      <c r="A486" t="s">
        <v>493</v>
      </c>
      <c r="B486" s="1">
        <v>0.98702346249989903</v>
      </c>
      <c r="C486" s="1">
        <v>0.98308911083879602</v>
      </c>
      <c r="D486" s="1">
        <v>0.93868066689154195</v>
      </c>
      <c r="E486" s="1">
        <v>0.94990174672489003</v>
      </c>
      <c r="F486" s="1">
        <v>0.94990174672489003</v>
      </c>
      <c r="G486" s="1">
        <v>0.94990174672489003</v>
      </c>
      <c r="H486">
        <v>248</v>
      </c>
      <c r="I486">
        <v>229</v>
      </c>
      <c r="J486" s="16">
        <f t="shared" si="29"/>
        <v>-3.9079532070552314E-2</v>
      </c>
      <c r="K486" s="16">
        <f t="shared" si="30"/>
        <v>-3.4937680900504434E-2</v>
      </c>
      <c r="L486" s="16">
        <f t="shared" si="31"/>
        <v>1.1812884724169186E-2</v>
      </c>
      <c r="M486" s="16">
        <f t="shared" si="32"/>
        <v>3.4937680900504434E-2</v>
      </c>
    </row>
    <row r="487" spans="1:13" x14ac:dyDescent="0.3">
      <c r="A487" t="s">
        <v>494</v>
      </c>
      <c r="B487" s="1">
        <v>0.98661982890269895</v>
      </c>
      <c r="C487" s="1">
        <v>0.96870835357460805</v>
      </c>
      <c r="D487" s="1">
        <v>0.97346112513166405</v>
      </c>
      <c r="E487" s="1">
        <v>1.0133137731767601</v>
      </c>
      <c r="F487" s="1">
        <v>1.0133137731767601</v>
      </c>
      <c r="G487" s="1">
        <v>1.0133137731767601</v>
      </c>
      <c r="H487">
        <v>835</v>
      </c>
      <c r="I487">
        <v>809</v>
      </c>
      <c r="J487" s="16">
        <f t="shared" si="29"/>
        <v>2.6343216662668121E-2</v>
      </c>
      <c r="K487" s="16">
        <f t="shared" si="30"/>
        <v>4.4019355882544749E-2</v>
      </c>
      <c r="L487" s="16">
        <f t="shared" si="31"/>
        <v>3.9329030256992498E-2</v>
      </c>
      <c r="M487" s="16">
        <f t="shared" si="32"/>
        <v>3.9329030256992498E-2</v>
      </c>
    </row>
    <row r="488" spans="1:13" x14ac:dyDescent="0.3">
      <c r="A488" t="s">
        <v>495</v>
      </c>
      <c r="B488" s="1">
        <v>0.97198469350261296</v>
      </c>
      <c r="C488" s="1">
        <v>0.96260943813260802</v>
      </c>
      <c r="D488" s="1">
        <v>0.97507818340410102</v>
      </c>
      <c r="E488" s="1">
        <v>1.00490423516295</v>
      </c>
      <c r="F488" s="1">
        <v>1.00490423516295</v>
      </c>
      <c r="G488" s="1">
        <v>1.00490423516295</v>
      </c>
      <c r="H488">
        <v>641</v>
      </c>
      <c r="I488">
        <v>583</v>
      </c>
      <c r="J488" s="16">
        <f t="shared" si="29"/>
        <v>3.2758884387624261E-2</v>
      </c>
      <c r="K488" s="16">
        <f t="shared" si="30"/>
        <v>4.2088385689292768E-2</v>
      </c>
      <c r="L488" s="16">
        <f t="shared" si="31"/>
        <v>2.9680491648054967E-2</v>
      </c>
      <c r="M488" s="16">
        <f t="shared" si="32"/>
        <v>3.2758884387624261E-2</v>
      </c>
    </row>
    <row r="489" spans="1:13" x14ac:dyDescent="0.3">
      <c r="A489" t="s">
        <v>496</v>
      </c>
      <c r="B489" s="1">
        <v>1.00009308111827</v>
      </c>
      <c r="C489" s="1">
        <v>0.98945478062914405</v>
      </c>
      <c r="D489" s="1">
        <v>1.00009308111827</v>
      </c>
      <c r="E489" s="1">
        <v>1.00631720967741</v>
      </c>
      <c r="F489" s="1">
        <v>1.00631720967741</v>
      </c>
      <c r="G489" s="1">
        <v>1.00631720967741</v>
      </c>
      <c r="H489">
        <v>94</v>
      </c>
      <c r="I489">
        <v>93</v>
      </c>
      <c r="J489" s="16">
        <f t="shared" si="29"/>
        <v>6.185056261867215E-3</v>
      </c>
      <c r="K489" s="16">
        <f t="shared" si="30"/>
        <v>1.675657425522064E-2</v>
      </c>
      <c r="L489" s="16">
        <f t="shared" si="31"/>
        <v>6.185056261867215E-3</v>
      </c>
      <c r="M489" s="16">
        <f t="shared" si="32"/>
        <v>6.185056261867215E-3</v>
      </c>
    </row>
    <row r="490" spans="1:13" x14ac:dyDescent="0.3">
      <c r="A490" t="s">
        <v>497</v>
      </c>
      <c r="B490" s="1">
        <v>1.0036202849637701</v>
      </c>
      <c r="C490" s="1">
        <v>1.0036516218932201</v>
      </c>
      <c r="D490" s="1">
        <v>1.00360958073869</v>
      </c>
      <c r="E490" s="1">
        <v>1.00206140526315</v>
      </c>
      <c r="F490" s="1">
        <v>1.00206140526315</v>
      </c>
      <c r="G490" s="1">
        <v>1.00206140526315</v>
      </c>
      <c r="H490">
        <v>190</v>
      </c>
      <c r="I490">
        <v>190</v>
      </c>
      <c r="J490" s="16">
        <f t="shared" si="29"/>
        <v>-1.5556728284637404E-3</v>
      </c>
      <c r="K490" s="16">
        <f t="shared" si="30"/>
        <v>-1.5869452926913997E-3</v>
      </c>
      <c r="L490" s="16">
        <f t="shared" si="31"/>
        <v>-1.5449906237366929E-3</v>
      </c>
      <c r="M490" s="16">
        <f t="shared" si="32"/>
        <v>1.5556728284637404E-3</v>
      </c>
    </row>
    <row r="491" spans="1:13" x14ac:dyDescent="0.3">
      <c r="A491" t="s">
        <v>498</v>
      </c>
      <c r="B491" s="1">
        <v>1.02240913816247</v>
      </c>
      <c r="C491" s="1">
        <v>1.02271335195364</v>
      </c>
      <c r="D491" s="1">
        <v>1.0229010470358</v>
      </c>
      <c r="E491" s="1">
        <v>1.02514548491124</v>
      </c>
      <c r="F491" s="1">
        <v>1.02514548491124</v>
      </c>
      <c r="G491" s="1">
        <v>1.02514548491124</v>
      </c>
      <c r="H491">
        <v>676</v>
      </c>
      <c r="I491">
        <v>676</v>
      </c>
      <c r="J491" s="16">
        <f t="shared" si="29"/>
        <v>2.6692277233283739E-3</v>
      </c>
      <c r="K491" s="16">
        <f t="shared" si="30"/>
        <v>2.3724759006382508E-3</v>
      </c>
      <c r="L491" s="16">
        <f t="shared" si="31"/>
        <v>2.1893847346304914E-3</v>
      </c>
      <c r="M491" s="16">
        <f t="shared" si="32"/>
        <v>2.3724759006382508E-3</v>
      </c>
    </row>
    <row r="492" spans="1:13" x14ac:dyDescent="0.3">
      <c r="A492" t="s">
        <v>499</v>
      </c>
      <c r="B492" s="1">
        <v>1.1036222940362499</v>
      </c>
      <c r="C492" s="1">
        <v>1.7345194675350999</v>
      </c>
      <c r="D492" s="1">
        <v>2.04783983033566</v>
      </c>
      <c r="E492" s="1">
        <v>1.00591974727592</v>
      </c>
      <c r="F492" s="1">
        <v>1.00591974727592</v>
      </c>
      <c r="G492" s="1">
        <v>1.00591974727592</v>
      </c>
      <c r="H492">
        <v>685</v>
      </c>
      <c r="I492">
        <v>569</v>
      </c>
      <c r="J492" s="16">
        <f t="shared" si="29"/>
        <v>-9.7127576056552367E-2</v>
      </c>
      <c r="K492" s="16">
        <f t="shared" si="30"/>
        <v>-0.72431197640991107</v>
      </c>
      <c r="L492" s="16">
        <f t="shared" si="31"/>
        <v>-1.0357884770443273</v>
      </c>
      <c r="M492" s="16">
        <f t="shared" si="32"/>
        <v>0.72431197640991107</v>
      </c>
    </row>
    <row r="493" spans="1:13" x14ac:dyDescent="0.3">
      <c r="A493" t="s">
        <v>500</v>
      </c>
      <c r="B493" s="1">
        <v>0.97506157232310897</v>
      </c>
      <c r="C493" s="1">
        <v>0.97723941918801605</v>
      </c>
      <c r="D493" s="1">
        <v>0.97979559514457104</v>
      </c>
      <c r="E493" s="1">
        <v>1.02367246260831</v>
      </c>
      <c r="F493" s="1">
        <v>1.02367246260831</v>
      </c>
      <c r="G493" s="1">
        <v>1.02367246260831</v>
      </c>
      <c r="H493">
        <v>2334</v>
      </c>
      <c r="I493">
        <v>2308</v>
      </c>
      <c r="J493" s="16">
        <f t="shared" si="29"/>
        <v>4.7486761694595994E-2</v>
      </c>
      <c r="K493" s="16">
        <f t="shared" si="30"/>
        <v>4.5359277616966384E-2</v>
      </c>
      <c r="L493" s="16">
        <f t="shared" si="31"/>
        <v>4.2862213321574597E-2</v>
      </c>
      <c r="M493" s="16">
        <f t="shared" si="32"/>
        <v>4.5359277616966384E-2</v>
      </c>
    </row>
    <row r="494" spans="1:13" x14ac:dyDescent="0.3">
      <c r="A494" t="s">
        <v>501</v>
      </c>
      <c r="B494" s="1">
        <v>0.93385518781106502</v>
      </c>
      <c r="C494" s="1">
        <v>0.95560557978282501</v>
      </c>
      <c r="D494" s="1">
        <v>0.93724633376130595</v>
      </c>
      <c r="E494" s="1">
        <v>0.98041729502551</v>
      </c>
      <c r="F494" s="1">
        <v>0.98041729502551</v>
      </c>
      <c r="G494" s="1">
        <v>0.98041729502551</v>
      </c>
      <c r="H494">
        <v>920</v>
      </c>
      <c r="I494">
        <v>784</v>
      </c>
      <c r="J494" s="16">
        <f t="shared" si="29"/>
        <v>4.7492131616500559E-2</v>
      </c>
      <c r="K494" s="16">
        <f t="shared" si="30"/>
        <v>2.5307300644915088E-2</v>
      </c>
      <c r="L494" s="16">
        <f t="shared" si="31"/>
        <v>4.4033251436145636E-2</v>
      </c>
      <c r="M494" s="16">
        <f t="shared" si="32"/>
        <v>4.4033251436145636E-2</v>
      </c>
    </row>
    <row r="495" spans="1:13" x14ac:dyDescent="0.3">
      <c r="A495" t="s">
        <v>502</v>
      </c>
      <c r="B495" s="1">
        <v>0.97436410152980002</v>
      </c>
      <c r="C495" s="1">
        <v>0.97436410152049502</v>
      </c>
      <c r="D495" s="1">
        <v>0.97436410153182296</v>
      </c>
      <c r="E495" s="1">
        <v>0.95841623036649204</v>
      </c>
      <c r="F495" s="1">
        <v>0.95841623036649204</v>
      </c>
      <c r="G495" s="1">
        <v>0.95841623036649204</v>
      </c>
      <c r="H495">
        <v>191</v>
      </c>
      <c r="I495">
        <v>191</v>
      </c>
      <c r="J495" s="16">
        <f t="shared" si="29"/>
        <v>-1.6639817501013749E-2</v>
      </c>
      <c r="K495" s="16">
        <f t="shared" si="30"/>
        <v>-1.6639817491305022E-2</v>
      </c>
      <c r="L495" s="16">
        <f t="shared" si="31"/>
        <v>-1.663981750312446E-2</v>
      </c>
      <c r="M495" s="16">
        <f t="shared" si="32"/>
        <v>1.6639817501013749E-2</v>
      </c>
    </row>
    <row r="496" spans="1:13" x14ac:dyDescent="0.3">
      <c r="A496" t="s">
        <v>503</v>
      </c>
      <c r="B496" s="1">
        <v>0.99999999996464395</v>
      </c>
      <c r="C496" s="1">
        <v>0.99999999996464395</v>
      </c>
      <c r="D496" s="1">
        <v>0.99999999996464395</v>
      </c>
      <c r="E496" s="1">
        <v>0.88968749999999996</v>
      </c>
      <c r="F496" s="1">
        <v>0.88968749999999996</v>
      </c>
      <c r="G496" s="1">
        <v>0.88968749999999996</v>
      </c>
      <c r="H496">
        <v>2</v>
      </c>
      <c r="I496">
        <v>2</v>
      </c>
      <c r="J496" s="16">
        <f t="shared" si="29"/>
        <v>-0.12399016504631569</v>
      </c>
      <c r="K496" s="16">
        <f t="shared" si="30"/>
        <v>-0.12399016504631569</v>
      </c>
      <c r="L496" s="16">
        <f t="shared" si="31"/>
        <v>-0.12399016504631569</v>
      </c>
      <c r="M496" s="16">
        <f t="shared" si="32"/>
        <v>0.12399016504631569</v>
      </c>
    </row>
    <row r="497" spans="1:13" x14ac:dyDescent="0.3">
      <c r="A497" t="s">
        <v>504</v>
      </c>
      <c r="B497" s="1">
        <v>0.988634069622782</v>
      </c>
      <c r="C497" s="1">
        <v>0.99416740587215102</v>
      </c>
      <c r="D497" s="1">
        <v>0.99416740600402498</v>
      </c>
      <c r="E497" s="1">
        <v>1.01432646253687</v>
      </c>
      <c r="F497" s="1">
        <v>1.01432646253687</v>
      </c>
      <c r="G497" s="1">
        <v>1.01432646253687</v>
      </c>
      <c r="H497">
        <v>341</v>
      </c>
      <c r="I497">
        <v>339</v>
      </c>
      <c r="J497" s="16">
        <f t="shared" si="29"/>
        <v>2.5329510628984583E-2</v>
      </c>
      <c r="K497" s="16">
        <f t="shared" si="30"/>
        <v>1.9874327851311668E-2</v>
      </c>
      <c r="L497" s="16">
        <f t="shared" si="31"/>
        <v>1.9874327721300312E-2</v>
      </c>
      <c r="M497" s="16">
        <f t="shared" si="32"/>
        <v>1.9874327851311668E-2</v>
      </c>
    </row>
    <row r="498" spans="1:13" x14ac:dyDescent="0.3">
      <c r="A498" t="s">
        <v>505</v>
      </c>
      <c r="B498" s="1">
        <v>0.93320227434317804</v>
      </c>
      <c r="C498" s="1">
        <v>0.97087333581397195</v>
      </c>
      <c r="D498" s="1">
        <v>0.92433017001848095</v>
      </c>
      <c r="E498" s="1">
        <v>1.00488337989821</v>
      </c>
      <c r="F498" s="1">
        <v>1.00488337989821</v>
      </c>
      <c r="G498" s="1">
        <v>1.00488337989821</v>
      </c>
      <c r="H498">
        <v>461</v>
      </c>
      <c r="I498">
        <v>393</v>
      </c>
      <c r="J498" s="16">
        <f t="shared" si="29"/>
        <v>7.1332760585902905E-2</v>
      </c>
      <c r="K498" s="16">
        <f t="shared" si="30"/>
        <v>3.3844767228295769E-2</v>
      </c>
      <c r="L498" s="16">
        <f t="shared" si="31"/>
        <v>8.0161749603111843E-2</v>
      </c>
      <c r="M498" s="16">
        <f t="shared" si="32"/>
        <v>7.1332760585902905E-2</v>
      </c>
    </row>
    <row r="499" spans="1:13" x14ac:dyDescent="0.3">
      <c r="A499" t="s">
        <v>506</v>
      </c>
      <c r="B499" s="1">
        <v>1.1014496904457101</v>
      </c>
      <c r="C499" s="1">
        <v>1.0561675075630801</v>
      </c>
      <c r="D499" s="1">
        <v>1.06605892138534</v>
      </c>
      <c r="E499" s="1">
        <v>1.00413292785276</v>
      </c>
      <c r="F499" s="1">
        <v>1.00413292785276</v>
      </c>
      <c r="G499" s="1">
        <v>1.00413292785276</v>
      </c>
      <c r="H499">
        <v>864</v>
      </c>
      <c r="I499">
        <v>815</v>
      </c>
      <c r="J499" s="16">
        <f t="shared" si="29"/>
        <v>-9.6916214869133363E-2</v>
      </c>
      <c r="K499" s="16">
        <f t="shared" si="30"/>
        <v>-5.1820409695747117E-2</v>
      </c>
      <c r="L499" s="16">
        <f t="shared" si="31"/>
        <v>-6.1671111279064085E-2</v>
      </c>
      <c r="M499" s="16">
        <f t="shared" si="32"/>
        <v>6.1671111279064085E-2</v>
      </c>
    </row>
    <row r="500" spans="1:13" x14ac:dyDescent="0.3">
      <c r="A500" t="s">
        <v>507</v>
      </c>
      <c r="B500" s="1">
        <v>0.99707775132168697</v>
      </c>
      <c r="C500" s="1">
        <v>0.99707775132300702</v>
      </c>
      <c r="D500" s="1">
        <v>0.99707775132240895</v>
      </c>
      <c r="E500" s="1">
        <v>1.00448473664122</v>
      </c>
      <c r="F500" s="1">
        <v>1.00448473664122</v>
      </c>
      <c r="G500" s="1">
        <v>1.00448473664122</v>
      </c>
      <c r="H500">
        <v>131</v>
      </c>
      <c r="I500">
        <v>131</v>
      </c>
      <c r="J500" s="16">
        <f t="shared" si="29"/>
        <v>7.373915251614821E-3</v>
      </c>
      <c r="K500" s="16">
        <f t="shared" si="30"/>
        <v>7.3739152503006587E-3</v>
      </c>
      <c r="L500" s="16">
        <f t="shared" si="31"/>
        <v>7.3739152508960661E-3</v>
      </c>
      <c r="M500" s="16">
        <f t="shared" si="32"/>
        <v>7.3739152508960661E-3</v>
      </c>
    </row>
    <row r="501" spans="1:13" x14ac:dyDescent="0.3">
      <c r="A501" t="s">
        <v>508</v>
      </c>
      <c r="B501" s="1">
        <v>0.95104087198279197</v>
      </c>
      <c r="C501" s="1">
        <v>0.87837824785037999</v>
      </c>
      <c r="D501" s="1">
        <v>0.89156459381983699</v>
      </c>
      <c r="E501" s="1">
        <v>1.0084289504587101</v>
      </c>
      <c r="F501" s="1">
        <v>1.0084289504587101</v>
      </c>
      <c r="G501" s="1">
        <v>1.0084289504587101</v>
      </c>
      <c r="H501">
        <v>303</v>
      </c>
      <c r="I501">
        <v>218</v>
      </c>
      <c r="J501" s="16">
        <f t="shared" si="29"/>
        <v>5.6908400388360168E-2</v>
      </c>
      <c r="K501" s="16">
        <f t="shared" si="30"/>
        <v>0.12896367418762933</v>
      </c>
      <c r="L501" s="16">
        <f t="shared" si="31"/>
        <v>0.11588754625272736</v>
      </c>
      <c r="M501" s="16">
        <f t="shared" si="32"/>
        <v>0.11588754625272736</v>
      </c>
    </row>
    <row r="502" spans="1:13" x14ac:dyDescent="0.3">
      <c r="A502" t="s">
        <v>509</v>
      </c>
      <c r="B502" s="1">
        <v>0.97682899824112801</v>
      </c>
      <c r="C502" s="1">
        <v>0.97568432523772597</v>
      </c>
      <c r="D502" s="1">
        <v>0.97560639569299301</v>
      </c>
      <c r="E502" s="1">
        <v>1.00950478566131</v>
      </c>
      <c r="F502" s="1">
        <v>1.00950478566131</v>
      </c>
      <c r="G502" s="1">
        <v>1.00950478566131</v>
      </c>
      <c r="H502">
        <v>817</v>
      </c>
      <c r="I502">
        <v>809</v>
      </c>
      <c r="J502" s="16">
        <f t="shared" si="29"/>
        <v>3.2368135232540368E-2</v>
      </c>
      <c r="K502" s="16">
        <f t="shared" si="30"/>
        <v>3.3502030801596222E-2</v>
      </c>
      <c r="L502" s="16">
        <f t="shared" si="31"/>
        <v>3.3579226616653114E-2</v>
      </c>
      <c r="M502" s="16">
        <f t="shared" si="32"/>
        <v>3.3502030801596222E-2</v>
      </c>
    </row>
    <row r="503" spans="1:13" x14ac:dyDescent="0.3">
      <c r="A503" t="s">
        <v>510</v>
      </c>
      <c r="B503" s="1">
        <v>0.93325813319294204</v>
      </c>
      <c r="C503" s="1">
        <v>1.41054130275639</v>
      </c>
      <c r="D503" s="1">
        <v>0.92076513818502104</v>
      </c>
      <c r="E503" s="1">
        <v>1.0045694483333301</v>
      </c>
      <c r="F503" s="1">
        <v>1.0045694483333301</v>
      </c>
      <c r="G503" s="1">
        <v>1.0045694483333301</v>
      </c>
      <c r="H503">
        <v>655</v>
      </c>
      <c r="I503">
        <v>480</v>
      </c>
      <c r="J503" s="16">
        <f t="shared" si="29"/>
        <v>7.0986943967587132E-2</v>
      </c>
      <c r="K503" s="16">
        <f t="shared" si="30"/>
        <v>-0.4041252250868303</v>
      </c>
      <c r="L503" s="16">
        <f t="shared" si="31"/>
        <v>8.342311254572575E-2</v>
      </c>
      <c r="M503" s="16">
        <f t="shared" si="32"/>
        <v>7.0986943967587132E-2</v>
      </c>
    </row>
    <row r="504" spans="1:13" x14ac:dyDescent="0.3">
      <c r="A504" t="s">
        <v>511</v>
      </c>
      <c r="B504" s="1">
        <v>0.92844995949898201</v>
      </c>
      <c r="C504" s="1">
        <v>0.93801789415243297</v>
      </c>
      <c r="D504" s="1">
        <v>0.89419494594160798</v>
      </c>
      <c r="E504" s="1">
        <v>1.00421586006944</v>
      </c>
      <c r="F504" s="1">
        <v>1.00421586006944</v>
      </c>
      <c r="G504" s="1">
        <v>1.00421586006944</v>
      </c>
      <c r="H504">
        <v>754</v>
      </c>
      <c r="I504">
        <v>576</v>
      </c>
      <c r="J504" s="16">
        <f t="shared" si="29"/>
        <v>7.5447823105700459E-2</v>
      </c>
      <c r="K504" s="16">
        <f t="shared" si="30"/>
        <v>6.5920056184364098E-2</v>
      </c>
      <c r="L504" s="16">
        <f t="shared" si="31"/>
        <v>0.10955902859393618</v>
      </c>
      <c r="M504" s="16">
        <f t="shared" si="32"/>
        <v>7.5447823105700459E-2</v>
      </c>
    </row>
    <row r="505" spans="1:13" x14ac:dyDescent="0.3">
      <c r="A505" t="s">
        <v>512</v>
      </c>
      <c r="B505" s="1">
        <v>0.962900450501601</v>
      </c>
      <c r="C505" s="1">
        <v>0.95373559857357104</v>
      </c>
      <c r="D505" s="1">
        <v>0.95765390445683996</v>
      </c>
      <c r="E505" s="1">
        <v>1.0054160647743799</v>
      </c>
      <c r="F505" s="1">
        <v>1.0054160647743799</v>
      </c>
      <c r="G505" s="1">
        <v>1.0054160647743799</v>
      </c>
      <c r="H505">
        <v>761</v>
      </c>
      <c r="I505">
        <v>687</v>
      </c>
      <c r="J505" s="16">
        <f t="shared" si="29"/>
        <v>4.2286587376460558E-2</v>
      </c>
      <c r="K505" s="16">
        <f t="shared" si="30"/>
        <v>5.1402069264137172E-2</v>
      </c>
      <c r="L505" s="16">
        <f t="shared" si="31"/>
        <v>4.7504870859864413E-2</v>
      </c>
      <c r="M505" s="16">
        <f t="shared" si="32"/>
        <v>4.7504870859864413E-2</v>
      </c>
    </row>
    <row r="506" spans="1:13" x14ac:dyDescent="0.3">
      <c r="A506" t="s">
        <v>513</v>
      </c>
      <c r="B506" s="1">
        <v>0.99334154987034695</v>
      </c>
      <c r="C506" s="1">
        <v>0.97108646895087303</v>
      </c>
      <c r="D506" s="1">
        <v>0.99333290927731399</v>
      </c>
      <c r="E506" s="1">
        <v>1.01273890573394</v>
      </c>
      <c r="F506" s="1">
        <v>1.01273890573394</v>
      </c>
      <c r="G506" s="1">
        <v>1.01273890573394</v>
      </c>
      <c r="H506">
        <v>446</v>
      </c>
      <c r="I506">
        <v>436</v>
      </c>
      <c r="J506" s="16">
        <f t="shared" si="29"/>
        <v>1.9153362978126743E-2</v>
      </c>
      <c r="K506" s="16">
        <f t="shared" si="30"/>
        <v>4.1128504639486627E-2</v>
      </c>
      <c r="L506" s="16">
        <f t="shared" si="31"/>
        <v>1.9161894884014864E-2</v>
      </c>
      <c r="M506" s="16">
        <f t="shared" si="32"/>
        <v>1.9161894884014864E-2</v>
      </c>
    </row>
    <row r="507" spans="1:13" x14ac:dyDescent="0.3">
      <c r="A507" t="s">
        <v>514</v>
      </c>
      <c r="B507" s="1">
        <v>0.95581606483894499</v>
      </c>
      <c r="C507" s="1">
        <v>0.95759626024060496</v>
      </c>
      <c r="D507" s="1">
        <v>0.96227187978733397</v>
      </c>
      <c r="E507" s="1">
        <v>1.0124793420682701</v>
      </c>
      <c r="F507" s="1">
        <v>1.0124793420682701</v>
      </c>
      <c r="G507" s="1">
        <v>1.0124793420682701</v>
      </c>
      <c r="H507">
        <v>1059</v>
      </c>
      <c r="I507">
        <v>996</v>
      </c>
      <c r="J507" s="16">
        <f t="shared" si="29"/>
        <v>5.5964872442310382E-2</v>
      </c>
      <c r="K507" s="16">
        <f t="shared" si="30"/>
        <v>5.4206618888194967E-2</v>
      </c>
      <c r="L507" s="16">
        <f t="shared" si="31"/>
        <v>4.9588628819204755E-2</v>
      </c>
      <c r="M507" s="16">
        <f t="shared" si="32"/>
        <v>5.4206618888194967E-2</v>
      </c>
    </row>
    <row r="508" spans="1:13" x14ac:dyDescent="0.3">
      <c r="A508" t="s">
        <v>515</v>
      </c>
      <c r="B508" s="1">
        <v>1.00174990981245</v>
      </c>
      <c r="C508" s="1">
        <v>1.0017820663314501</v>
      </c>
      <c r="D508" s="1">
        <v>1.0017908255986501</v>
      </c>
      <c r="E508" s="1">
        <v>1.00203170201729</v>
      </c>
      <c r="F508" s="1">
        <v>1.00203170201729</v>
      </c>
      <c r="G508" s="1">
        <v>1.00203170201729</v>
      </c>
      <c r="H508">
        <v>347</v>
      </c>
      <c r="I508">
        <v>347</v>
      </c>
      <c r="J508" s="16">
        <f t="shared" si="29"/>
        <v>2.8122084787599207E-4</v>
      </c>
      <c r="K508" s="16">
        <f t="shared" si="30"/>
        <v>2.4912952887353183E-4</v>
      </c>
      <c r="L508" s="16">
        <f t="shared" si="31"/>
        <v>2.4038802181105564E-4</v>
      </c>
      <c r="M508" s="16">
        <f t="shared" si="32"/>
        <v>2.4912952887353183E-4</v>
      </c>
    </row>
    <row r="509" spans="1:13" x14ac:dyDescent="0.3">
      <c r="A509" t="s">
        <v>516</v>
      </c>
      <c r="B509" s="1">
        <v>1.00781360020142</v>
      </c>
      <c r="C509" s="1">
        <v>1.0066438353457201</v>
      </c>
      <c r="D509" s="1">
        <v>1.0089776293478301</v>
      </c>
      <c r="E509" s="1">
        <v>1.0271632845629901</v>
      </c>
      <c r="F509" s="1">
        <v>1.0271632845629901</v>
      </c>
      <c r="G509" s="1">
        <v>1.0271632845629901</v>
      </c>
      <c r="H509">
        <v>884</v>
      </c>
      <c r="I509">
        <v>881</v>
      </c>
      <c r="J509" s="16">
        <f t="shared" si="29"/>
        <v>1.8837982872219314E-2</v>
      </c>
      <c r="K509" s="16">
        <f t="shared" si="30"/>
        <v>1.9976813351540373E-2</v>
      </c>
      <c r="L509" s="16">
        <f t="shared" si="31"/>
        <v>1.7704736421626645E-2</v>
      </c>
      <c r="M509" s="16">
        <f t="shared" si="32"/>
        <v>1.8837982872219314E-2</v>
      </c>
    </row>
    <row r="510" spans="1:13" x14ac:dyDescent="0.3">
      <c r="A510" t="s">
        <v>517</v>
      </c>
      <c r="B510" s="1">
        <v>0.92332011544951997</v>
      </c>
      <c r="C510" s="1">
        <v>0.94073812991216499</v>
      </c>
      <c r="D510" s="1">
        <v>0.92397867204121698</v>
      </c>
      <c r="E510" s="1">
        <v>1.0184791587473001</v>
      </c>
      <c r="F510" s="1">
        <v>1.0184791587473001</v>
      </c>
      <c r="G510" s="1">
        <v>1.0184791587473001</v>
      </c>
      <c r="H510">
        <v>570</v>
      </c>
      <c r="I510">
        <v>463</v>
      </c>
      <c r="J510" s="16">
        <f t="shared" si="29"/>
        <v>9.343248949229653E-2</v>
      </c>
      <c r="K510" s="16">
        <f t="shared" si="30"/>
        <v>7.6330505310245461E-2</v>
      </c>
      <c r="L510" s="16">
        <f t="shared" si="31"/>
        <v>9.2785881669209605E-2</v>
      </c>
      <c r="M510" s="16">
        <f t="shared" si="32"/>
        <v>9.2785881669209605E-2</v>
      </c>
    </row>
    <row r="511" spans="1:13" x14ac:dyDescent="0.3">
      <c r="A511" t="s">
        <v>518</v>
      </c>
      <c r="B511" s="1">
        <v>1.00199799531279</v>
      </c>
      <c r="C511" s="1">
        <v>1.0017123204418099</v>
      </c>
      <c r="D511" s="1">
        <v>1.00158086552704</v>
      </c>
      <c r="E511" s="1">
        <v>1.00422545311203</v>
      </c>
      <c r="F511" s="1">
        <v>1.00422545311203</v>
      </c>
      <c r="G511" s="1">
        <v>1.00422545311203</v>
      </c>
      <c r="H511">
        <v>241</v>
      </c>
      <c r="I511">
        <v>241</v>
      </c>
      <c r="J511" s="16">
        <f t="shared" si="29"/>
        <v>2.2180853834537881E-3</v>
      </c>
      <c r="K511" s="16">
        <f t="shared" si="30"/>
        <v>2.5025582277685694E-3</v>
      </c>
      <c r="L511" s="16">
        <f t="shared" si="31"/>
        <v>2.6334600231399047E-3</v>
      </c>
      <c r="M511" s="16">
        <f t="shared" si="32"/>
        <v>2.5025582277685694E-3</v>
      </c>
    </row>
    <row r="512" spans="1:13" x14ac:dyDescent="0.3">
      <c r="A512" t="s">
        <v>519</v>
      </c>
      <c r="B512" s="1">
        <v>0.96928269052104699</v>
      </c>
      <c r="C512" s="1">
        <v>0.97084439275353096</v>
      </c>
      <c r="D512" s="1">
        <v>0.96703545013777903</v>
      </c>
      <c r="E512" s="1">
        <v>0.96254057428214701</v>
      </c>
      <c r="F512" s="1">
        <v>0.96254057428214701</v>
      </c>
      <c r="G512" s="1">
        <v>0.96254057428214701</v>
      </c>
      <c r="H512">
        <v>844</v>
      </c>
      <c r="I512">
        <v>801</v>
      </c>
      <c r="J512" s="16">
        <f t="shared" si="29"/>
        <v>-7.0045008169428886E-3</v>
      </c>
      <c r="K512" s="16">
        <f t="shared" si="30"/>
        <v>-8.6269801951744766E-3</v>
      </c>
      <c r="L512" s="16">
        <f t="shared" si="31"/>
        <v>-4.6698040329201202E-3</v>
      </c>
      <c r="M512" s="16">
        <f t="shared" si="32"/>
        <v>7.0045008169428886E-3</v>
      </c>
    </row>
    <row r="513" spans="1:13" x14ac:dyDescent="0.3">
      <c r="A513" t="s">
        <v>520</v>
      </c>
      <c r="B513" s="1">
        <v>0.97086673036719295</v>
      </c>
      <c r="C513" s="1">
        <v>0.97099982938432805</v>
      </c>
      <c r="D513" s="1">
        <v>0.97099961976140003</v>
      </c>
      <c r="E513" s="1">
        <v>0.94857317615658299</v>
      </c>
      <c r="F513" s="1">
        <v>0.94857317615658299</v>
      </c>
      <c r="G513" s="1">
        <v>0.94857317615658299</v>
      </c>
      <c r="H513">
        <v>564</v>
      </c>
      <c r="I513">
        <v>562</v>
      </c>
      <c r="J513" s="16">
        <f t="shared" si="29"/>
        <v>-2.3502197585787438E-2</v>
      </c>
      <c r="K513" s="16">
        <f t="shared" si="30"/>
        <v>-2.3642512556187916E-2</v>
      </c>
      <c r="L513" s="16">
        <f t="shared" si="31"/>
        <v>-2.3642291568568525E-2</v>
      </c>
      <c r="M513" s="16">
        <f t="shared" si="32"/>
        <v>2.3642291568568525E-2</v>
      </c>
    </row>
    <row r="514" spans="1:13" x14ac:dyDescent="0.3">
      <c r="A514" t="s">
        <v>521</v>
      </c>
      <c r="B514" s="1">
        <v>0.98335264841831505</v>
      </c>
      <c r="C514" s="1">
        <v>0.98335323377538797</v>
      </c>
      <c r="D514" s="1">
        <v>0.98438452810739197</v>
      </c>
      <c r="E514" s="1">
        <v>0.96436808628318504</v>
      </c>
      <c r="F514" s="1">
        <v>0.96436808628318504</v>
      </c>
      <c r="G514" s="1">
        <v>0.96436808628318504</v>
      </c>
      <c r="H514">
        <v>462</v>
      </c>
      <c r="I514">
        <v>452</v>
      </c>
      <c r="J514" s="16">
        <f t="shared" si="29"/>
        <v>-1.9686012431517998E-2</v>
      </c>
      <c r="K514" s="16">
        <f t="shared" si="30"/>
        <v>-1.9686619416632134E-2</v>
      </c>
      <c r="L514" s="16">
        <f t="shared" si="31"/>
        <v>-2.0756018483930966E-2</v>
      </c>
      <c r="M514" s="16">
        <f t="shared" si="32"/>
        <v>1.9686619416632134E-2</v>
      </c>
    </row>
    <row r="515" spans="1:13" x14ac:dyDescent="0.3">
      <c r="A515" t="s">
        <v>522</v>
      </c>
      <c r="B515" s="1">
        <v>1.25591190707782</v>
      </c>
      <c r="C515" s="1">
        <v>0.95615641958556197</v>
      </c>
      <c r="D515" s="1">
        <v>0.94358608809746602</v>
      </c>
      <c r="E515" s="1">
        <v>0.87030582922824196</v>
      </c>
      <c r="F515" s="1">
        <v>0.87030582922824196</v>
      </c>
      <c r="G515" s="1">
        <v>0.87030582922824196</v>
      </c>
      <c r="H515">
        <v>717</v>
      </c>
      <c r="I515">
        <v>609</v>
      </c>
      <c r="J515" s="16">
        <f t="shared" ref="J515:J578" si="33">(E515-B515)/E515</f>
        <v>-0.44306962552637452</v>
      </c>
      <c r="K515" s="16">
        <f t="shared" ref="K515:K578" si="34">(F515-C515)/F515</f>
        <v>-9.8644163320667902E-2</v>
      </c>
      <c r="L515" s="16">
        <f t="shared" ref="L515:L578" si="35">(G515-D515)/G515</f>
        <v>-8.4200583758248002E-2</v>
      </c>
      <c r="M515" s="16">
        <f t="shared" ref="M515:M578" si="36">ABS(MEDIAN(J515:L515))</f>
        <v>9.8644163320667902E-2</v>
      </c>
    </row>
    <row r="516" spans="1:13" x14ac:dyDescent="0.3">
      <c r="A516" t="s">
        <v>523</v>
      </c>
      <c r="B516" s="1">
        <v>1.1135893604813101</v>
      </c>
      <c r="C516" s="1">
        <v>0.99715789074874395</v>
      </c>
      <c r="D516" s="1">
        <v>0.94211667037415403</v>
      </c>
      <c r="E516" s="1">
        <v>0.97469633154961</v>
      </c>
      <c r="F516" s="1">
        <v>0.97469633154961</v>
      </c>
      <c r="G516" s="1">
        <v>0.97469633154961</v>
      </c>
      <c r="H516">
        <v>1035</v>
      </c>
      <c r="I516">
        <v>897</v>
      </c>
      <c r="J516" s="16">
        <f t="shared" si="33"/>
        <v>-0.14249877057696786</v>
      </c>
      <c r="K516" s="16">
        <f t="shared" si="34"/>
        <v>-2.3044673989306694E-2</v>
      </c>
      <c r="L516" s="16">
        <f t="shared" si="35"/>
        <v>3.3425447619834125E-2</v>
      </c>
      <c r="M516" s="16">
        <f t="shared" si="36"/>
        <v>2.3044673989306694E-2</v>
      </c>
    </row>
    <row r="517" spans="1:13" x14ac:dyDescent="0.3">
      <c r="A517" t="s">
        <v>524</v>
      </c>
      <c r="B517" s="1">
        <v>0.99984591996595795</v>
      </c>
      <c r="C517" s="1">
        <v>1.0548566593590101</v>
      </c>
      <c r="D517" s="1">
        <v>0.99890690079282196</v>
      </c>
      <c r="E517" s="1">
        <v>1.00263551626168</v>
      </c>
      <c r="F517" s="1">
        <v>1.00263551626168</v>
      </c>
      <c r="G517" s="1">
        <v>1.00263551626168</v>
      </c>
      <c r="H517">
        <v>573</v>
      </c>
      <c r="I517">
        <v>535</v>
      </c>
      <c r="J517" s="16">
        <f t="shared" si="33"/>
        <v>2.7822635947737568E-3</v>
      </c>
      <c r="K517" s="16">
        <f t="shared" si="34"/>
        <v>-5.2083875197276322E-2</v>
      </c>
      <c r="L517" s="16">
        <f t="shared" si="35"/>
        <v>3.7188144728407114E-3</v>
      </c>
      <c r="M517" s="16">
        <f t="shared" si="36"/>
        <v>2.7822635947737568E-3</v>
      </c>
    </row>
    <row r="518" spans="1:13" x14ac:dyDescent="0.3">
      <c r="A518" t="s">
        <v>525</v>
      </c>
      <c r="B518" s="1">
        <v>1.0166229544263501</v>
      </c>
      <c r="C518" s="1">
        <v>1.0209489459594501</v>
      </c>
      <c r="D518" s="1">
        <v>1.02243176555207</v>
      </c>
      <c r="E518" s="1">
        <v>1.0059783693295199</v>
      </c>
      <c r="F518" s="1">
        <v>1.0059783693295199</v>
      </c>
      <c r="G518" s="1">
        <v>1.0059783693295199</v>
      </c>
      <c r="H518">
        <v>706</v>
      </c>
      <c r="I518">
        <v>701</v>
      </c>
      <c r="J518" s="16">
        <f t="shared" si="33"/>
        <v>-1.0581326021875365E-2</v>
      </c>
      <c r="K518" s="16">
        <f t="shared" si="34"/>
        <v>-1.4881608875852867E-2</v>
      </c>
      <c r="L518" s="16">
        <f t="shared" si="35"/>
        <v>-1.6355616307651099E-2</v>
      </c>
      <c r="M518" s="16">
        <f t="shared" si="36"/>
        <v>1.4881608875852867E-2</v>
      </c>
    </row>
    <row r="519" spans="1:13" x14ac:dyDescent="0.3">
      <c r="A519" t="s">
        <v>526</v>
      </c>
      <c r="B519" s="1">
        <v>0.94956312060912995</v>
      </c>
      <c r="C519" s="1">
        <v>0.96084731321338401</v>
      </c>
      <c r="D519" s="1">
        <v>0.95206519348934904</v>
      </c>
      <c r="E519" s="1">
        <v>0.96396669054441197</v>
      </c>
      <c r="F519" s="1">
        <v>0.96396669054441197</v>
      </c>
      <c r="G519" s="1">
        <v>0.96396669054441197</v>
      </c>
      <c r="H519">
        <v>792</v>
      </c>
      <c r="I519">
        <v>698</v>
      </c>
      <c r="J519" s="16">
        <f t="shared" si="33"/>
        <v>1.4941978884298825E-2</v>
      </c>
      <c r="K519" s="16">
        <f t="shared" si="34"/>
        <v>3.2359804147031835E-3</v>
      </c>
      <c r="L519" s="16">
        <f t="shared" si="35"/>
        <v>1.23463779109851E-2</v>
      </c>
      <c r="M519" s="16">
        <f t="shared" si="36"/>
        <v>1.23463779109851E-2</v>
      </c>
    </row>
    <row r="520" spans="1:13" x14ac:dyDescent="0.3">
      <c r="A520" t="s">
        <v>527</v>
      </c>
      <c r="B520" s="1">
        <v>0.97943247867376304</v>
      </c>
      <c r="C520" s="1">
        <v>0.97753624472546197</v>
      </c>
      <c r="D520" s="1">
        <v>0.97939742013225595</v>
      </c>
      <c r="E520" s="1">
        <v>1.00543790738137</v>
      </c>
      <c r="F520" s="1">
        <v>1.00543790738137</v>
      </c>
      <c r="G520" s="1">
        <v>1.00543790738137</v>
      </c>
      <c r="H520">
        <v>588</v>
      </c>
      <c r="I520">
        <v>569</v>
      </c>
      <c r="J520" s="16">
        <f t="shared" si="33"/>
        <v>2.5864778438021301E-2</v>
      </c>
      <c r="K520" s="16">
        <f t="shared" si="34"/>
        <v>2.7750756611690675E-2</v>
      </c>
      <c r="L520" s="16">
        <f t="shared" si="35"/>
        <v>2.5899647365530114E-2</v>
      </c>
      <c r="M520" s="16">
        <f t="shared" si="36"/>
        <v>2.5899647365530114E-2</v>
      </c>
    </row>
    <row r="521" spans="1:13" x14ac:dyDescent="0.3">
      <c r="A521" t="s">
        <v>528</v>
      </c>
      <c r="B521" s="1">
        <v>0.99851586308893703</v>
      </c>
      <c r="C521" s="1">
        <v>1.01567709638516</v>
      </c>
      <c r="D521" s="1">
        <v>0.99846258861663595</v>
      </c>
      <c r="E521" s="1">
        <v>1.00460784705882</v>
      </c>
      <c r="F521" s="1">
        <v>1.00460784705882</v>
      </c>
      <c r="G521" s="1">
        <v>1.00460784705882</v>
      </c>
      <c r="H521">
        <v>329</v>
      </c>
      <c r="I521">
        <v>323</v>
      </c>
      <c r="J521" s="16">
        <f t="shared" si="33"/>
        <v>6.0640417927437188E-3</v>
      </c>
      <c r="K521" s="16">
        <f t="shared" si="34"/>
        <v>-1.1018477865514728E-2</v>
      </c>
      <c r="L521" s="16">
        <f t="shared" si="35"/>
        <v>6.1170719103732498E-3</v>
      </c>
      <c r="M521" s="16">
        <f t="shared" si="36"/>
        <v>6.0640417927437188E-3</v>
      </c>
    </row>
    <row r="522" spans="1:13" x14ac:dyDescent="0.3">
      <c r="A522" t="s">
        <v>529</v>
      </c>
      <c r="B522" s="1">
        <v>0.96489989064074899</v>
      </c>
      <c r="C522" s="1">
        <v>0.95666892666437098</v>
      </c>
      <c r="D522" s="1">
        <v>0.96035092060216898</v>
      </c>
      <c r="E522" s="1">
        <v>1.0070026775585601</v>
      </c>
      <c r="F522" s="1">
        <v>1.0070026775585601</v>
      </c>
      <c r="G522" s="1">
        <v>1.0070026775585601</v>
      </c>
      <c r="H522">
        <v>873</v>
      </c>
      <c r="I522">
        <v>811</v>
      </c>
      <c r="J522" s="16">
        <f t="shared" si="33"/>
        <v>4.1810004934532768E-2</v>
      </c>
      <c r="K522" s="16">
        <f t="shared" si="34"/>
        <v>4.998373094321993E-2</v>
      </c>
      <c r="L522" s="16">
        <f t="shared" si="35"/>
        <v>4.6327341521570274E-2</v>
      </c>
      <c r="M522" s="16">
        <f t="shared" si="36"/>
        <v>4.6327341521570274E-2</v>
      </c>
    </row>
    <row r="523" spans="1:13" x14ac:dyDescent="0.3">
      <c r="A523" t="s">
        <v>530</v>
      </c>
      <c r="B523" s="1">
        <v>1.00204058564679</v>
      </c>
      <c r="C523" s="1">
        <v>0.99662372036495805</v>
      </c>
      <c r="D523" s="1">
        <v>1.0020405856505401</v>
      </c>
      <c r="E523" s="1">
        <v>1.0059601499999999</v>
      </c>
      <c r="F523" s="1">
        <v>1.0059601499999999</v>
      </c>
      <c r="G523" s="1">
        <v>1.0059601499999999</v>
      </c>
      <c r="H523">
        <v>185</v>
      </c>
      <c r="I523">
        <v>184</v>
      </c>
      <c r="J523" s="16">
        <f t="shared" si="33"/>
        <v>3.8963415729837288E-3</v>
      </c>
      <c r="K523" s="16">
        <f t="shared" si="34"/>
        <v>9.2811128105242426E-3</v>
      </c>
      <c r="L523" s="16">
        <f t="shared" si="35"/>
        <v>3.8963415692558367E-3</v>
      </c>
      <c r="M523" s="16">
        <f t="shared" si="36"/>
        <v>3.8963415729837288E-3</v>
      </c>
    </row>
    <row r="524" spans="1:13" x14ac:dyDescent="0.3">
      <c r="A524" t="s">
        <v>531</v>
      </c>
      <c r="B524" s="1">
        <v>1.00040636459814</v>
      </c>
      <c r="C524" s="1">
        <v>0.95984428891308504</v>
      </c>
      <c r="D524" s="1">
        <v>0.93719384784321402</v>
      </c>
      <c r="E524" s="1">
        <v>1.03188363595041</v>
      </c>
      <c r="F524" s="1">
        <v>1.03188363595041</v>
      </c>
      <c r="G524" s="1">
        <v>1.03188363595041</v>
      </c>
      <c r="H524">
        <v>540</v>
      </c>
      <c r="I524">
        <v>484</v>
      </c>
      <c r="J524" s="16">
        <f t="shared" si="33"/>
        <v>3.050467151102558E-2</v>
      </c>
      <c r="K524" s="16">
        <f t="shared" si="34"/>
        <v>6.9813440709303967E-2</v>
      </c>
      <c r="L524" s="16">
        <f t="shared" si="35"/>
        <v>9.1764017577410789E-2</v>
      </c>
      <c r="M524" s="16">
        <f t="shared" si="36"/>
        <v>6.9813440709303967E-2</v>
      </c>
    </row>
    <row r="525" spans="1:13" x14ac:dyDescent="0.3">
      <c r="A525" t="s">
        <v>532</v>
      </c>
      <c r="B525" s="1">
        <v>1.00446712451455</v>
      </c>
      <c r="C525" s="1">
        <v>1.00439281314026</v>
      </c>
      <c r="D525" s="1">
        <v>1.00436822383893</v>
      </c>
      <c r="E525" s="1">
        <v>1.00364495516074</v>
      </c>
      <c r="F525" s="1">
        <v>1.00364495516074</v>
      </c>
      <c r="G525" s="1">
        <v>1.00364495516074</v>
      </c>
      <c r="H525">
        <v>591</v>
      </c>
      <c r="I525">
        <v>591</v>
      </c>
      <c r="J525" s="16">
        <f t="shared" si="33"/>
        <v>-8.1918346680504104E-4</v>
      </c>
      <c r="K525" s="16">
        <f t="shared" si="34"/>
        <v>-7.4514197044925508E-4</v>
      </c>
      <c r="L525" s="16">
        <f t="shared" si="35"/>
        <v>-7.2064197052045334E-4</v>
      </c>
      <c r="M525" s="16">
        <f t="shared" si="36"/>
        <v>7.4514197044925508E-4</v>
      </c>
    </row>
    <row r="526" spans="1:13" x14ac:dyDescent="0.3">
      <c r="A526" t="s">
        <v>533</v>
      </c>
      <c r="B526" s="1">
        <v>0.99800011350010798</v>
      </c>
      <c r="C526" s="1">
        <v>0.94495396266180198</v>
      </c>
      <c r="D526" s="1">
        <v>0.99802092258531006</v>
      </c>
      <c r="E526" s="1">
        <v>1.00744341158301</v>
      </c>
      <c r="F526" s="1">
        <v>1.00744341158301</v>
      </c>
      <c r="G526" s="1">
        <v>1.00744341158301</v>
      </c>
      <c r="H526">
        <v>547</v>
      </c>
      <c r="I526">
        <v>518</v>
      </c>
      <c r="J526" s="16">
        <f t="shared" si="33"/>
        <v>9.3735270629877066E-3</v>
      </c>
      <c r="K526" s="16">
        <f t="shared" si="34"/>
        <v>6.2027750842121698E-2</v>
      </c>
      <c r="L526" s="16">
        <f t="shared" si="35"/>
        <v>9.3528717239752847E-3</v>
      </c>
      <c r="M526" s="16">
        <f t="shared" si="36"/>
        <v>9.3735270629877066E-3</v>
      </c>
    </row>
    <row r="527" spans="1:13" x14ac:dyDescent="0.3">
      <c r="A527" t="s">
        <v>534</v>
      </c>
      <c r="B527" s="1">
        <v>1.0287647207819</v>
      </c>
      <c r="C527" s="1">
        <v>1.0201853597193999</v>
      </c>
      <c r="D527" s="1">
        <v>1.0112592688972699</v>
      </c>
      <c r="E527" s="1">
        <v>1.0050762432020299</v>
      </c>
      <c r="F527" s="1">
        <v>1.0050762432020299</v>
      </c>
      <c r="G527" s="1">
        <v>1.0050762432020299</v>
      </c>
      <c r="H527">
        <v>910</v>
      </c>
      <c r="I527">
        <v>787</v>
      </c>
      <c r="J527" s="16">
        <f t="shared" si="33"/>
        <v>-2.3568836434141462E-2</v>
      </c>
      <c r="K527" s="16">
        <f t="shared" si="34"/>
        <v>-1.5032806336397444E-2</v>
      </c>
      <c r="L527" s="16">
        <f t="shared" si="35"/>
        <v>-6.151797674116488E-3</v>
      </c>
      <c r="M527" s="16">
        <f t="shared" si="36"/>
        <v>1.5032806336397444E-2</v>
      </c>
    </row>
    <row r="528" spans="1:13" x14ac:dyDescent="0.3">
      <c r="A528" t="s">
        <v>535</v>
      </c>
      <c r="B528" s="1">
        <v>0.99425420563884404</v>
      </c>
      <c r="C528" s="1">
        <v>0.94673824923247396</v>
      </c>
      <c r="D528" s="1">
        <v>0.99722409244596</v>
      </c>
      <c r="E528" s="1">
        <v>1.0070016467084599</v>
      </c>
      <c r="F528" s="1">
        <v>1.0070016467084599</v>
      </c>
      <c r="G528" s="1">
        <v>1.0070016467084599</v>
      </c>
      <c r="H528">
        <v>337</v>
      </c>
      <c r="I528">
        <v>319</v>
      </c>
      <c r="J528" s="16">
        <f t="shared" si="33"/>
        <v>1.2658808564298648E-2</v>
      </c>
      <c r="K528" s="16">
        <f t="shared" si="34"/>
        <v>5.9844388212239939E-2</v>
      </c>
      <c r="L528" s="16">
        <f t="shared" si="35"/>
        <v>9.7095712747435666E-3</v>
      </c>
      <c r="M528" s="16">
        <f t="shared" si="36"/>
        <v>1.2658808564298648E-2</v>
      </c>
    </row>
    <row r="529" spans="1:13" x14ac:dyDescent="0.3">
      <c r="A529" t="s">
        <v>536</v>
      </c>
      <c r="B529" s="1">
        <v>0.99271330218781695</v>
      </c>
      <c r="C529" s="1">
        <v>1.0003345995080699</v>
      </c>
      <c r="D529" s="1">
        <v>0.95416563822273603</v>
      </c>
      <c r="E529" s="1">
        <v>1.0072833093117399</v>
      </c>
      <c r="F529" s="1">
        <v>1.0072833093117399</v>
      </c>
      <c r="G529" s="1">
        <v>1.0072833093117399</v>
      </c>
      <c r="H529">
        <v>261</v>
      </c>
      <c r="I529">
        <v>247</v>
      </c>
      <c r="J529" s="16">
        <f t="shared" si="33"/>
        <v>1.4464656556136549E-2</v>
      </c>
      <c r="K529" s="16">
        <f t="shared" si="34"/>
        <v>6.898466140988632E-3</v>
      </c>
      <c r="L529" s="16">
        <f t="shared" si="35"/>
        <v>5.2733595998228466E-2</v>
      </c>
      <c r="M529" s="16">
        <f t="shared" si="36"/>
        <v>1.4464656556136549E-2</v>
      </c>
    </row>
    <row r="530" spans="1:13" x14ac:dyDescent="0.3">
      <c r="A530" t="s">
        <v>537</v>
      </c>
      <c r="B530" s="1">
        <v>0.99458031376369704</v>
      </c>
      <c r="C530" s="1">
        <v>0.99463182696997299</v>
      </c>
      <c r="D530" s="1">
        <v>0.99462015010774096</v>
      </c>
      <c r="E530" s="1">
        <v>1.0041267595785399</v>
      </c>
      <c r="F530" s="1">
        <v>1.0041267595785399</v>
      </c>
      <c r="G530" s="1">
        <v>1.0041267595785399</v>
      </c>
      <c r="H530">
        <v>522</v>
      </c>
      <c r="I530">
        <v>522</v>
      </c>
      <c r="J530" s="16">
        <f t="shared" si="33"/>
        <v>9.5072118373279724E-3</v>
      </c>
      <c r="K530" s="16">
        <f t="shared" si="34"/>
        <v>9.4559103399975315E-3</v>
      </c>
      <c r="L530" s="16">
        <f t="shared" si="35"/>
        <v>9.4675392126678751E-3</v>
      </c>
      <c r="M530" s="16">
        <f t="shared" si="36"/>
        <v>9.4675392126678751E-3</v>
      </c>
    </row>
    <row r="531" spans="1:13" x14ac:dyDescent="0.3">
      <c r="A531" t="s">
        <v>538</v>
      </c>
      <c r="B531" s="1">
        <v>0.99247719153886005</v>
      </c>
      <c r="C531" s="1">
        <v>0.97821254372523403</v>
      </c>
      <c r="D531" s="1">
        <v>0.989647549259562</v>
      </c>
      <c r="E531" s="1">
        <v>1.00418834653179</v>
      </c>
      <c r="F531" s="1">
        <v>1.00418834653179</v>
      </c>
      <c r="G531" s="1">
        <v>1.00418834653179</v>
      </c>
      <c r="H531">
        <v>352</v>
      </c>
      <c r="I531">
        <v>346</v>
      </c>
      <c r="J531" s="16">
        <f t="shared" si="33"/>
        <v>1.1662309200636812E-2</v>
      </c>
      <c r="K531" s="16">
        <f t="shared" si="34"/>
        <v>2.5867460916340811E-2</v>
      </c>
      <c r="L531" s="16">
        <f t="shared" si="35"/>
        <v>1.4480149388755815E-2</v>
      </c>
      <c r="M531" s="16">
        <f t="shared" si="36"/>
        <v>1.4480149388755815E-2</v>
      </c>
    </row>
    <row r="532" spans="1:13" x14ac:dyDescent="0.3">
      <c r="A532" t="s">
        <v>539</v>
      </c>
      <c r="B532" s="1">
        <v>1.6255708870026799</v>
      </c>
      <c r="C532" s="1">
        <v>1.5670827774174501</v>
      </c>
      <c r="D532" s="1">
        <v>2.8188067034811102</v>
      </c>
      <c r="E532" s="1">
        <v>1.01161704383561</v>
      </c>
      <c r="F532" s="1">
        <v>1.01161704383561</v>
      </c>
      <c r="G532" s="1">
        <v>1.01161704383561</v>
      </c>
      <c r="H532">
        <v>1948</v>
      </c>
      <c r="I532">
        <v>1679</v>
      </c>
      <c r="J532" s="16">
        <f t="shared" si="33"/>
        <v>-0.60690341953831173</v>
      </c>
      <c r="K532" s="16">
        <f t="shared" si="34"/>
        <v>-0.54908696622563469</v>
      </c>
      <c r="L532" s="16">
        <f t="shared" si="35"/>
        <v>-1.7864365479583324</v>
      </c>
      <c r="M532" s="16">
        <f t="shared" si="36"/>
        <v>0.60690341953831173</v>
      </c>
    </row>
    <row r="533" spans="1:13" x14ac:dyDescent="0.3">
      <c r="A533" t="s">
        <v>540</v>
      </c>
      <c r="B533" s="1">
        <v>1.0021591000380199</v>
      </c>
      <c r="C533" s="1">
        <v>0.99051649068321201</v>
      </c>
      <c r="D533" s="1">
        <v>1.00227894175586</v>
      </c>
      <c r="E533" s="1">
        <v>1.00414706235294</v>
      </c>
      <c r="F533" s="1">
        <v>1.00414706235294</v>
      </c>
      <c r="G533" s="1">
        <v>1.00414706235294</v>
      </c>
      <c r="H533">
        <v>344</v>
      </c>
      <c r="I533">
        <v>340</v>
      </c>
      <c r="J533" s="16">
        <f t="shared" si="33"/>
        <v>1.9797521592722855E-3</v>
      </c>
      <c r="K533" s="16">
        <f t="shared" si="34"/>
        <v>1.3574278291258023E-2</v>
      </c>
      <c r="L533" s="16">
        <f t="shared" si="35"/>
        <v>1.86040537996761E-3</v>
      </c>
      <c r="M533" s="16">
        <f t="shared" si="36"/>
        <v>1.9797521592722855E-3</v>
      </c>
    </row>
    <row r="534" spans="1:13" x14ac:dyDescent="0.3">
      <c r="A534" t="s">
        <v>541</v>
      </c>
      <c r="B534" s="1">
        <v>0.960861275498478</v>
      </c>
      <c r="C534" s="1">
        <v>0.97536692235656897</v>
      </c>
      <c r="D534" s="1">
        <v>0.95234243281970199</v>
      </c>
      <c r="E534" s="1">
        <v>1.0083306949206301</v>
      </c>
      <c r="F534" s="1">
        <v>1.0083306949206301</v>
      </c>
      <c r="G534" s="1">
        <v>1.0083306949206301</v>
      </c>
      <c r="H534">
        <v>710</v>
      </c>
      <c r="I534">
        <v>630</v>
      </c>
      <c r="J534" s="16">
        <f t="shared" si="33"/>
        <v>4.7077233353377802E-2</v>
      </c>
      <c r="K534" s="16">
        <f t="shared" si="34"/>
        <v>3.2691430232276969E-2</v>
      </c>
      <c r="L534" s="16">
        <f t="shared" si="35"/>
        <v>5.5525694479959455E-2</v>
      </c>
      <c r="M534" s="16">
        <f t="shared" si="36"/>
        <v>4.7077233353377802E-2</v>
      </c>
    </row>
    <row r="535" spans="1:13" x14ac:dyDescent="0.3">
      <c r="A535" t="s">
        <v>542</v>
      </c>
      <c r="B535" s="1">
        <v>0.99913016241936703</v>
      </c>
      <c r="C535" s="1">
        <v>0.99913032562492299</v>
      </c>
      <c r="D535" s="1">
        <v>1.00079940963597</v>
      </c>
      <c r="E535" s="1">
        <v>1.0064186230769201</v>
      </c>
      <c r="F535" s="1">
        <v>1.0064186230769201</v>
      </c>
      <c r="G535" s="1">
        <v>1.0064186230769201</v>
      </c>
      <c r="H535">
        <v>600</v>
      </c>
      <c r="I535">
        <v>598</v>
      </c>
      <c r="J535" s="16">
        <f t="shared" si="33"/>
        <v>7.2419771359854999E-3</v>
      </c>
      <c r="K535" s="16">
        <f t="shared" si="34"/>
        <v>7.2418149713035116E-3</v>
      </c>
      <c r="L535" s="16">
        <f t="shared" si="35"/>
        <v>5.5833758558346868E-3</v>
      </c>
      <c r="M535" s="16">
        <f t="shared" si="36"/>
        <v>7.2418149713035116E-3</v>
      </c>
    </row>
    <row r="536" spans="1:13" x14ac:dyDescent="0.3">
      <c r="A536" t="s">
        <v>543</v>
      </c>
      <c r="B536" s="1">
        <v>0.99442986368541297</v>
      </c>
      <c r="C536" s="1">
        <v>0.99630732990828097</v>
      </c>
      <c r="D536" s="1">
        <v>0.99630732990112203</v>
      </c>
      <c r="E536" s="1">
        <v>1.0064787022556301</v>
      </c>
      <c r="F536" s="1">
        <v>1.0064787022556301</v>
      </c>
      <c r="G536" s="1">
        <v>1.0064787022556301</v>
      </c>
      <c r="H536">
        <v>533</v>
      </c>
      <c r="I536">
        <v>532</v>
      </c>
      <c r="J536" s="16">
        <f t="shared" si="33"/>
        <v>1.1971280210117037E-2</v>
      </c>
      <c r="K536" s="16">
        <f t="shared" si="34"/>
        <v>1.0105899235178982E-2</v>
      </c>
      <c r="L536" s="16">
        <f t="shared" si="35"/>
        <v>1.0105899242291839E-2</v>
      </c>
      <c r="M536" s="16">
        <f t="shared" si="36"/>
        <v>1.0105899242291839E-2</v>
      </c>
    </row>
    <row r="537" spans="1:13" x14ac:dyDescent="0.3">
      <c r="A537" t="s">
        <v>544</v>
      </c>
      <c r="B537" s="1">
        <v>0.97866541760304004</v>
      </c>
      <c r="C537" s="1">
        <v>0.984913127824527</v>
      </c>
      <c r="D537" s="1">
        <v>0.94449799723065997</v>
      </c>
      <c r="E537" s="1">
        <v>1.0086371436241599</v>
      </c>
      <c r="F537" s="1">
        <v>1.0086371436241599</v>
      </c>
      <c r="G537" s="1">
        <v>1.0086371436241599</v>
      </c>
      <c r="H537">
        <v>322</v>
      </c>
      <c r="I537">
        <v>298</v>
      </c>
      <c r="J537" s="16">
        <f t="shared" si="33"/>
        <v>2.9715072670661011E-2</v>
      </c>
      <c r="K537" s="16">
        <f t="shared" si="34"/>
        <v>2.3520862730069144E-2</v>
      </c>
      <c r="L537" s="16">
        <f t="shared" si="35"/>
        <v>6.3589911197440077E-2</v>
      </c>
      <c r="M537" s="16">
        <f t="shared" si="36"/>
        <v>2.9715072670661011E-2</v>
      </c>
    </row>
    <row r="538" spans="1:13" x14ac:dyDescent="0.3">
      <c r="A538" t="s">
        <v>545</v>
      </c>
      <c r="B538" s="1">
        <v>0.95681020601003697</v>
      </c>
      <c r="C538" s="1">
        <v>0.97919380808048295</v>
      </c>
      <c r="D538" s="1">
        <v>0.96802483493614999</v>
      </c>
      <c r="E538" s="1">
        <v>1.0037170506151101</v>
      </c>
      <c r="F538" s="1">
        <v>1.0037170506151101</v>
      </c>
      <c r="G538" s="1">
        <v>1.0037170506151101</v>
      </c>
      <c r="H538">
        <v>626</v>
      </c>
      <c r="I538">
        <v>569</v>
      </c>
      <c r="J538" s="16">
        <f t="shared" si="33"/>
        <v>4.6733135176220311E-2</v>
      </c>
      <c r="K538" s="16">
        <f t="shared" si="34"/>
        <v>2.4432425970644305E-2</v>
      </c>
      <c r="L538" s="16">
        <f t="shared" si="35"/>
        <v>3.5560037220735412E-2</v>
      </c>
      <c r="M538" s="16">
        <f t="shared" si="36"/>
        <v>3.5560037220735412E-2</v>
      </c>
    </row>
    <row r="539" spans="1:13" x14ac:dyDescent="0.3">
      <c r="A539" t="s">
        <v>546</v>
      </c>
      <c r="B539" s="1">
        <v>0.99811755588181705</v>
      </c>
      <c r="C539" s="1">
        <v>0.99811683477959201</v>
      </c>
      <c r="D539" s="1">
        <v>0.99398607170235298</v>
      </c>
      <c r="E539" s="1">
        <v>1.00380787361111</v>
      </c>
      <c r="F539" s="1">
        <v>1.00380787361111</v>
      </c>
      <c r="G539" s="1">
        <v>1.00380787361111</v>
      </c>
      <c r="H539">
        <v>723</v>
      </c>
      <c r="I539">
        <v>720</v>
      </c>
      <c r="J539" s="16">
        <f t="shared" si="33"/>
        <v>5.6687319146267951E-3</v>
      </c>
      <c r="K539" s="16">
        <f t="shared" si="34"/>
        <v>5.6694502814019516E-3</v>
      </c>
      <c r="L539" s="16">
        <f t="shared" si="35"/>
        <v>9.7845436033729936E-3</v>
      </c>
      <c r="M539" s="16">
        <f t="shared" si="36"/>
        <v>5.6694502814019516E-3</v>
      </c>
    </row>
    <row r="540" spans="1:13" x14ac:dyDescent="0.3">
      <c r="A540" t="s">
        <v>547</v>
      </c>
      <c r="B540" s="1">
        <v>1.49274116526967</v>
      </c>
      <c r="C540" s="1"/>
      <c r="D540" s="1"/>
      <c r="E540" s="1">
        <v>1.01408835997295</v>
      </c>
      <c r="F540" s="1">
        <v>1.01408835997295</v>
      </c>
      <c r="G540" s="1">
        <v>1.01408835997295</v>
      </c>
      <c r="H540">
        <v>1887</v>
      </c>
      <c r="I540">
        <v>1479</v>
      </c>
      <c r="J540" s="16">
        <f t="shared" si="33"/>
        <v>-0.47200305633079914</v>
      </c>
      <c r="K540" s="16">
        <f t="shared" si="34"/>
        <v>1</v>
      </c>
      <c r="L540" s="16">
        <f t="shared" si="35"/>
        <v>1</v>
      </c>
      <c r="M540" s="16">
        <f t="shared" si="36"/>
        <v>1</v>
      </c>
    </row>
    <row r="541" spans="1:13" x14ac:dyDescent="0.3">
      <c r="A541" t="s">
        <v>548</v>
      </c>
      <c r="B541" s="1">
        <v>0.97467422702103301</v>
      </c>
      <c r="C541" s="1">
        <v>0.97467324725175997</v>
      </c>
      <c r="D541" s="1">
        <v>0.97467273367576501</v>
      </c>
      <c r="E541" s="1">
        <v>0.78347445101351298</v>
      </c>
      <c r="F541" s="1">
        <v>0.78347445101351298</v>
      </c>
      <c r="G541" s="1">
        <v>0.78347445101351298</v>
      </c>
      <c r="H541">
        <v>592</v>
      </c>
      <c r="I541">
        <v>592</v>
      </c>
      <c r="J541" s="16">
        <f t="shared" si="33"/>
        <v>-0.24404085641871467</v>
      </c>
      <c r="K541" s="16">
        <f t="shared" si="34"/>
        <v>-0.24403960587471574</v>
      </c>
      <c r="L541" s="16">
        <f t="shared" si="35"/>
        <v>-0.24403895036387643</v>
      </c>
      <c r="M541" s="16">
        <f t="shared" si="36"/>
        <v>0.24403960587471574</v>
      </c>
    </row>
    <row r="542" spans="1:13" x14ac:dyDescent="0.3">
      <c r="A542" t="s">
        <v>549</v>
      </c>
      <c r="B542" s="1">
        <v>0.94826649492741499</v>
      </c>
      <c r="C542" s="1">
        <v>1.45733373511415</v>
      </c>
      <c r="D542" s="1">
        <v>1.1971643091042801</v>
      </c>
      <c r="E542" s="1">
        <v>0.93269987699876999</v>
      </c>
      <c r="F542" s="1">
        <v>0.93269987699876999</v>
      </c>
      <c r="G542" s="1">
        <v>0.93269987699876999</v>
      </c>
      <c r="H542">
        <v>894</v>
      </c>
      <c r="I542">
        <v>813</v>
      </c>
      <c r="J542" s="16">
        <f t="shared" si="33"/>
        <v>-1.6689846661859836E-2</v>
      </c>
      <c r="K542" s="16">
        <f t="shared" si="34"/>
        <v>-0.56248946853465909</v>
      </c>
      <c r="L542" s="16">
        <f t="shared" si="35"/>
        <v>-0.28354719307619125</v>
      </c>
      <c r="M542" s="16">
        <f t="shared" si="36"/>
        <v>0.28354719307619125</v>
      </c>
    </row>
    <row r="543" spans="1:13" x14ac:dyDescent="0.3">
      <c r="A543" t="s">
        <v>550</v>
      </c>
      <c r="B543" s="1">
        <v>1.00660836317809</v>
      </c>
      <c r="C543" s="1">
        <v>0.95382452672463003</v>
      </c>
      <c r="D543" s="1">
        <v>0.97207586626892095</v>
      </c>
      <c r="E543" s="1">
        <v>1.0036319997493699</v>
      </c>
      <c r="F543" s="1">
        <v>1.0036319997493699</v>
      </c>
      <c r="G543" s="1">
        <v>1.0036319997493699</v>
      </c>
      <c r="H543">
        <v>437</v>
      </c>
      <c r="I543">
        <v>399</v>
      </c>
      <c r="J543" s="16">
        <f t="shared" si="33"/>
        <v>-2.9655923978742843E-3</v>
      </c>
      <c r="K543" s="16">
        <f t="shared" si="34"/>
        <v>4.9627226948899539E-2</v>
      </c>
      <c r="L543" s="16">
        <f t="shared" si="35"/>
        <v>3.1441936375413738E-2</v>
      </c>
      <c r="M543" s="16">
        <f t="shared" si="36"/>
        <v>3.1441936375413738E-2</v>
      </c>
    </row>
    <row r="544" spans="1:13" x14ac:dyDescent="0.3">
      <c r="A544" t="s">
        <v>551</v>
      </c>
      <c r="B544" s="1">
        <v>1.01737794461967</v>
      </c>
      <c r="C544" s="1">
        <v>1.0129325242337399</v>
      </c>
      <c r="D544" s="1">
        <v>1.01703844535046</v>
      </c>
      <c r="E544" s="1">
        <v>1.0033192118644001</v>
      </c>
      <c r="F544" s="1">
        <v>1.0033192118644001</v>
      </c>
      <c r="G544" s="1">
        <v>1.0033192118644001</v>
      </c>
      <c r="H544">
        <v>237</v>
      </c>
      <c r="I544">
        <v>236</v>
      </c>
      <c r="J544" s="16">
        <f t="shared" si="33"/>
        <v>-1.4012223217719045E-2</v>
      </c>
      <c r="K544" s="16">
        <f t="shared" si="34"/>
        <v>-9.5815093099593449E-3</v>
      </c>
      <c r="L544" s="16">
        <f t="shared" si="35"/>
        <v>-1.3673847090564861E-2</v>
      </c>
      <c r="M544" s="16">
        <f t="shared" si="36"/>
        <v>1.3673847090564861E-2</v>
      </c>
    </row>
    <row r="545" spans="1:13" x14ac:dyDescent="0.3">
      <c r="A545" t="s">
        <v>552</v>
      </c>
      <c r="B545" s="1">
        <v>0.99226522951109897</v>
      </c>
      <c r="C545" s="1">
        <v>0.98818379898026698</v>
      </c>
      <c r="D545" s="1">
        <v>0.99226605518990696</v>
      </c>
      <c r="E545" s="1">
        <v>1.0032103852459</v>
      </c>
      <c r="F545" s="1">
        <v>1.0032103852459</v>
      </c>
      <c r="G545" s="1">
        <v>1.0032103852459</v>
      </c>
      <c r="H545">
        <v>245</v>
      </c>
      <c r="I545">
        <v>244</v>
      </c>
      <c r="J545" s="16">
        <f t="shared" si="33"/>
        <v>1.0910130014372047E-2</v>
      </c>
      <c r="K545" s="16">
        <f t="shared" si="34"/>
        <v>1.4978499511794639E-2</v>
      </c>
      <c r="L545" s="16">
        <f t="shared" si="35"/>
        <v>1.0909306977828432E-2</v>
      </c>
      <c r="M545" s="16">
        <f t="shared" si="36"/>
        <v>1.0910130014372047E-2</v>
      </c>
    </row>
    <row r="546" spans="1:13" x14ac:dyDescent="0.3">
      <c r="A546" t="s">
        <v>553</v>
      </c>
      <c r="B546" s="1">
        <v>0.97933871256293803</v>
      </c>
      <c r="C546" s="1">
        <v>0.979338712472694</v>
      </c>
      <c r="D546" s="1">
        <v>0.98161248387121802</v>
      </c>
      <c r="E546" s="1">
        <v>1.0078155773242601</v>
      </c>
      <c r="F546" s="1">
        <v>1.0078155773242601</v>
      </c>
      <c r="G546" s="1">
        <v>1.0078155773242601</v>
      </c>
      <c r="H546">
        <v>443</v>
      </c>
      <c r="I546">
        <v>441</v>
      </c>
      <c r="J546" s="16">
        <f t="shared" si="33"/>
        <v>2.8256027592794143E-2</v>
      </c>
      <c r="K546" s="16">
        <f t="shared" si="34"/>
        <v>2.8256027682338338E-2</v>
      </c>
      <c r="L546" s="16">
        <f t="shared" si="35"/>
        <v>2.5999889307735252E-2</v>
      </c>
      <c r="M546" s="16">
        <f t="shared" si="36"/>
        <v>2.8256027592794143E-2</v>
      </c>
    </row>
    <row r="547" spans="1:13" x14ac:dyDescent="0.3">
      <c r="A547" t="s">
        <v>554</v>
      </c>
      <c r="B547" s="1">
        <v>0.99933226676704801</v>
      </c>
      <c r="C547" s="1">
        <v>0.93764703575724395</v>
      </c>
      <c r="D547" s="1">
        <v>0.92877832653580195</v>
      </c>
      <c r="E547" s="1">
        <v>0.96299745748251697</v>
      </c>
      <c r="F547" s="1">
        <v>0.96299745748251697</v>
      </c>
      <c r="G547" s="1">
        <v>0.96299745748251697</v>
      </c>
      <c r="H547">
        <v>873</v>
      </c>
      <c r="I547">
        <v>715</v>
      </c>
      <c r="J547" s="16">
        <f t="shared" si="33"/>
        <v>-3.7730950380199406E-2</v>
      </c>
      <c r="K547" s="16">
        <f t="shared" si="34"/>
        <v>2.6324494969638332E-2</v>
      </c>
      <c r="L547" s="16">
        <f t="shared" si="35"/>
        <v>3.5533978496860429E-2</v>
      </c>
      <c r="M547" s="16">
        <f t="shared" si="36"/>
        <v>2.6324494969638332E-2</v>
      </c>
    </row>
    <row r="548" spans="1:13" x14ac:dyDescent="0.3">
      <c r="A548" t="s">
        <v>555</v>
      </c>
      <c r="B548" s="1">
        <v>0.99312515944121604</v>
      </c>
      <c r="C548" s="1">
        <v>0.98625125542087499</v>
      </c>
      <c r="D548" s="1">
        <v>0.98624473289778203</v>
      </c>
      <c r="E548" s="1">
        <v>0.84613804347826005</v>
      </c>
      <c r="F548" s="1">
        <v>0.84613804347826005</v>
      </c>
      <c r="G548" s="1">
        <v>0.84613804347826005</v>
      </c>
      <c r="H548">
        <v>583</v>
      </c>
      <c r="I548">
        <v>575</v>
      </c>
      <c r="J548" s="16">
        <f t="shared" si="33"/>
        <v>-0.17371529042557765</v>
      </c>
      <c r="K548" s="16">
        <f t="shared" si="34"/>
        <v>-0.16559143395402112</v>
      </c>
      <c r="L548" s="16">
        <f t="shared" si="35"/>
        <v>-0.16558372537367391</v>
      </c>
      <c r="M548" s="16">
        <f t="shared" si="36"/>
        <v>0.16559143395402112</v>
      </c>
    </row>
    <row r="549" spans="1:13" x14ac:dyDescent="0.3">
      <c r="A549" t="s">
        <v>556</v>
      </c>
      <c r="B549" s="1">
        <v>0.99781474913453405</v>
      </c>
      <c r="C549" s="1">
        <v>0.97188855428987198</v>
      </c>
      <c r="D549" s="1">
        <v>0.98679467412461197</v>
      </c>
      <c r="E549" s="1">
        <v>1.0058964822532399</v>
      </c>
      <c r="F549" s="1">
        <v>1.0058964822532399</v>
      </c>
      <c r="G549" s="1">
        <v>1.0058964822532399</v>
      </c>
      <c r="H549">
        <v>1042</v>
      </c>
      <c r="I549">
        <v>1003</v>
      </c>
      <c r="J549" s="16">
        <f t="shared" si="33"/>
        <v>8.0343586654190498E-3</v>
      </c>
      <c r="K549" s="16">
        <f t="shared" si="34"/>
        <v>3.3808576293247496E-2</v>
      </c>
      <c r="L549" s="16">
        <f t="shared" si="35"/>
        <v>1.8989834904123818E-2</v>
      </c>
      <c r="M549" s="16">
        <f t="shared" si="36"/>
        <v>1.8989834904123818E-2</v>
      </c>
    </row>
    <row r="550" spans="1:13" x14ac:dyDescent="0.3">
      <c r="A550" t="s">
        <v>557</v>
      </c>
      <c r="B550" s="1">
        <v>0.96921341136382699</v>
      </c>
      <c r="C550" s="1">
        <v>0.98036081164563105</v>
      </c>
      <c r="D550" s="1">
        <v>0.98036456329391497</v>
      </c>
      <c r="E550" s="1">
        <v>1.01690988873873</v>
      </c>
      <c r="F550" s="1">
        <v>1.01690988873873</v>
      </c>
      <c r="G550" s="1">
        <v>1.01690988873873</v>
      </c>
      <c r="H550">
        <v>449</v>
      </c>
      <c r="I550">
        <v>444</v>
      </c>
      <c r="J550" s="16">
        <f t="shared" si="33"/>
        <v>4.6903346995731156E-2</v>
      </c>
      <c r="K550" s="16">
        <f t="shared" si="34"/>
        <v>3.594131348101124E-2</v>
      </c>
      <c r="L550" s="16">
        <f t="shared" si="35"/>
        <v>3.5937624217758452E-2</v>
      </c>
      <c r="M550" s="16">
        <f t="shared" si="36"/>
        <v>3.594131348101124E-2</v>
      </c>
    </row>
    <row r="551" spans="1:13" x14ac:dyDescent="0.3">
      <c r="A551" t="s">
        <v>558</v>
      </c>
      <c r="B551" s="1">
        <v>1.0424525402007301</v>
      </c>
      <c r="C551" s="1">
        <v>1.1481978897529399</v>
      </c>
      <c r="D551" s="1">
        <v>1.1370820840593601</v>
      </c>
      <c r="E551" s="1">
        <v>1.0049647929577401</v>
      </c>
      <c r="F551" s="1">
        <v>1.0049647929577401</v>
      </c>
      <c r="G551" s="1">
        <v>1.0049647929577401</v>
      </c>
      <c r="H551">
        <v>762</v>
      </c>
      <c r="I551">
        <v>710</v>
      </c>
      <c r="J551" s="16">
        <f t="shared" si="33"/>
        <v>-3.7302547816285919E-2</v>
      </c>
      <c r="K551" s="16">
        <f t="shared" si="34"/>
        <v>-0.14252548725975409</v>
      </c>
      <c r="L551" s="16">
        <f t="shared" si="35"/>
        <v>-0.13146459659823689</v>
      </c>
      <c r="M551" s="16">
        <f t="shared" si="36"/>
        <v>0.13146459659823689</v>
      </c>
    </row>
    <row r="552" spans="1:13" x14ac:dyDescent="0.3">
      <c r="A552" t="s">
        <v>559</v>
      </c>
      <c r="B552" s="1"/>
      <c r="C552" s="1"/>
      <c r="D552" s="1"/>
      <c r="E552" s="1">
        <v>0.548384785189718</v>
      </c>
      <c r="F552" s="1">
        <v>0.548384785189718</v>
      </c>
      <c r="G552" s="1">
        <v>0.548384785189718</v>
      </c>
      <c r="H552">
        <v>817</v>
      </c>
      <c r="I552">
        <v>817</v>
      </c>
      <c r="J552" s="16">
        <f t="shared" si="33"/>
        <v>1</v>
      </c>
      <c r="K552" s="16">
        <f t="shared" si="34"/>
        <v>1</v>
      </c>
      <c r="L552" s="16">
        <f t="shared" si="35"/>
        <v>1</v>
      </c>
      <c r="M552" s="16">
        <f t="shared" si="36"/>
        <v>1</v>
      </c>
    </row>
    <row r="553" spans="1:13" x14ac:dyDescent="0.3">
      <c r="A553" t="s">
        <v>560</v>
      </c>
      <c r="B553" s="1">
        <v>0.99984941353317003</v>
      </c>
      <c r="C553" s="1">
        <v>1.0072138703236699</v>
      </c>
      <c r="D553" s="1">
        <v>1.02486733335062</v>
      </c>
      <c r="E553" s="1">
        <v>1.0038361580411099</v>
      </c>
      <c r="F553" s="1">
        <v>1.0038361580411099</v>
      </c>
      <c r="G553" s="1">
        <v>1.0038361580411099</v>
      </c>
      <c r="H553">
        <v>863</v>
      </c>
      <c r="I553">
        <v>827</v>
      </c>
      <c r="J553" s="16">
        <f t="shared" si="33"/>
        <v>3.9715091710978501E-3</v>
      </c>
      <c r="K553" s="16">
        <f t="shared" si="34"/>
        <v>-3.3648043612528261E-3</v>
      </c>
      <c r="L553" s="16">
        <f t="shared" si="35"/>
        <v>-2.0950804711548112E-2</v>
      </c>
      <c r="M553" s="16">
        <f t="shared" si="36"/>
        <v>3.3648043612528261E-3</v>
      </c>
    </row>
    <row r="554" spans="1:13" x14ac:dyDescent="0.3">
      <c r="A554" t="s">
        <v>561</v>
      </c>
      <c r="B554" s="1">
        <v>0.96503420135447304</v>
      </c>
      <c r="C554" s="1">
        <v>0.90713370025246698</v>
      </c>
      <c r="D554" s="1">
        <v>0.92732330680024799</v>
      </c>
      <c r="E554" s="1">
        <v>1.03303978089171</v>
      </c>
      <c r="F554" s="1">
        <v>1.03303978089171</v>
      </c>
      <c r="G554" s="1">
        <v>1.03303978089171</v>
      </c>
      <c r="H554">
        <v>1470</v>
      </c>
      <c r="I554">
        <v>1099</v>
      </c>
      <c r="J554" s="16">
        <f t="shared" si="33"/>
        <v>6.5830552506443846E-2</v>
      </c>
      <c r="K554" s="16">
        <f t="shared" si="34"/>
        <v>0.12187921798186911</v>
      </c>
      <c r="L554" s="16">
        <f t="shared" si="35"/>
        <v>0.10233533698015827</v>
      </c>
      <c r="M554" s="16">
        <f t="shared" si="36"/>
        <v>0.10233533698015827</v>
      </c>
    </row>
    <row r="555" spans="1:13" x14ac:dyDescent="0.3">
      <c r="A555" t="s">
        <v>562</v>
      </c>
      <c r="B555" s="1">
        <v>0.95138110251465602</v>
      </c>
      <c r="C555" s="1">
        <v>0.96732095129565199</v>
      </c>
      <c r="D555" s="1">
        <v>0.94182671514525895</v>
      </c>
      <c r="E555" s="1">
        <v>1.00596825904761</v>
      </c>
      <c r="F555" s="1">
        <v>1.00596825904761</v>
      </c>
      <c r="G555" s="1">
        <v>1.00596825904761</v>
      </c>
      <c r="H555">
        <v>629</v>
      </c>
      <c r="I555">
        <v>525</v>
      </c>
      <c r="J555" s="16">
        <f t="shared" si="33"/>
        <v>5.426329910710484E-2</v>
      </c>
      <c r="K555" s="16">
        <f t="shared" si="34"/>
        <v>3.8418019062099386E-2</v>
      </c>
      <c r="L555" s="16">
        <f t="shared" si="35"/>
        <v>6.3761001726909738E-2</v>
      </c>
      <c r="M555" s="16">
        <f t="shared" si="36"/>
        <v>5.426329910710484E-2</v>
      </c>
    </row>
    <row r="556" spans="1:13" x14ac:dyDescent="0.3">
      <c r="A556" t="s">
        <v>563</v>
      </c>
      <c r="B556" s="1">
        <v>0.95065649658720097</v>
      </c>
      <c r="C556" s="1">
        <v>0.93449166689763896</v>
      </c>
      <c r="D556" s="1">
        <v>0.91164942819689099</v>
      </c>
      <c r="E556" s="1">
        <v>1.0054492799999899</v>
      </c>
      <c r="F556" s="1">
        <v>1.0054492799999899</v>
      </c>
      <c r="G556" s="1">
        <v>1.0054492799999899</v>
      </c>
      <c r="H556">
        <v>730</v>
      </c>
      <c r="I556">
        <v>575</v>
      </c>
      <c r="J556" s="16">
        <f t="shared" si="33"/>
        <v>5.4495820428445162E-2</v>
      </c>
      <c r="K556" s="16">
        <f t="shared" si="34"/>
        <v>7.0573040842350249E-2</v>
      </c>
      <c r="L556" s="16">
        <f t="shared" si="35"/>
        <v>9.3291480404759805E-2</v>
      </c>
      <c r="M556" s="16">
        <f t="shared" si="36"/>
        <v>7.0573040842350249E-2</v>
      </c>
    </row>
    <row r="557" spans="1:13" x14ac:dyDescent="0.3">
      <c r="A557" t="s">
        <v>564</v>
      </c>
      <c r="B557" s="1">
        <v>1.0019168706688999</v>
      </c>
      <c r="C557" s="1">
        <v>0.98370634352399999</v>
      </c>
      <c r="D557" s="1">
        <v>0.98758819136999199</v>
      </c>
      <c r="E557" s="1">
        <v>1.00427163701996</v>
      </c>
      <c r="F557" s="1">
        <v>1.00427163701996</v>
      </c>
      <c r="G557" s="1">
        <v>1.00427163701996</v>
      </c>
      <c r="H557">
        <v>676</v>
      </c>
      <c r="I557">
        <v>651</v>
      </c>
      <c r="J557" s="16">
        <f t="shared" si="33"/>
        <v>2.3447504283279209E-3</v>
      </c>
      <c r="K557" s="16">
        <f t="shared" si="34"/>
        <v>2.0477819683312731E-2</v>
      </c>
      <c r="L557" s="16">
        <f t="shared" si="35"/>
        <v>1.661248315194274E-2</v>
      </c>
      <c r="M557" s="16">
        <f t="shared" si="36"/>
        <v>1.661248315194274E-2</v>
      </c>
    </row>
    <row r="558" spans="1:13" x14ac:dyDescent="0.3">
      <c r="A558" t="s">
        <v>565</v>
      </c>
      <c r="B558" s="1">
        <v>1.0024375654602</v>
      </c>
      <c r="C558" s="1">
        <v>1.0042967671394001</v>
      </c>
      <c r="D558" s="1">
        <v>1.0042967683805799</v>
      </c>
      <c r="E558" s="1">
        <v>1.02980312613953</v>
      </c>
      <c r="F558" s="1">
        <v>1.02980312613953</v>
      </c>
      <c r="G558" s="1">
        <v>1.02980312613953</v>
      </c>
      <c r="H558">
        <v>1077</v>
      </c>
      <c r="I558">
        <v>1075</v>
      </c>
      <c r="J558" s="16">
        <f t="shared" si="33"/>
        <v>2.6573584780147701E-2</v>
      </c>
      <c r="K558" s="16">
        <f t="shared" si="34"/>
        <v>2.4768189523512837E-2</v>
      </c>
      <c r="L558" s="16">
        <f t="shared" si="35"/>
        <v>2.4768188318253507E-2</v>
      </c>
      <c r="M558" s="16">
        <f t="shared" si="36"/>
        <v>2.4768189523512837E-2</v>
      </c>
    </row>
    <row r="559" spans="1:13" x14ac:dyDescent="0.3">
      <c r="A559" t="s">
        <v>566</v>
      </c>
      <c r="B559" s="1">
        <v>0.99305918808023297</v>
      </c>
      <c r="C559" s="1">
        <v>0.99305918808153204</v>
      </c>
      <c r="D559" s="1">
        <v>0.99305918821396899</v>
      </c>
      <c r="E559" s="1">
        <v>1.0059985036036001</v>
      </c>
      <c r="F559" s="1">
        <v>1.0059985036036001</v>
      </c>
      <c r="G559" s="1">
        <v>1.0059985036036001</v>
      </c>
      <c r="H559">
        <v>222</v>
      </c>
      <c r="I559">
        <v>222</v>
      </c>
      <c r="J559" s="16">
        <f t="shared" si="33"/>
        <v>1.2862161799462968E-2</v>
      </c>
      <c r="K559" s="16">
        <f t="shared" si="34"/>
        <v>1.2862161798171642E-2</v>
      </c>
      <c r="L559" s="16">
        <f t="shared" si="35"/>
        <v>1.2862161666524378E-2</v>
      </c>
      <c r="M559" s="16">
        <f t="shared" si="36"/>
        <v>1.2862161798171642E-2</v>
      </c>
    </row>
    <row r="560" spans="1:13" x14ac:dyDescent="0.3">
      <c r="A560" t="s">
        <v>567</v>
      </c>
      <c r="B560" s="1">
        <v>0.983885756591386</v>
      </c>
      <c r="C560" s="1">
        <v>0.98952145899786903</v>
      </c>
      <c r="D560" s="1">
        <v>0.98948713449155201</v>
      </c>
      <c r="E560" s="1">
        <v>1.0079213550561701</v>
      </c>
      <c r="F560" s="1">
        <v>1.0079213550561701</v>
      </c>
      <c r="G560" s="1">
        <v>1.0079213550561701</v>
      </c>
      <c r="H560">
        <v>358</v>
      </c>
      <c r="I560">
        <v>356</v>
      </c>
      <c r="J560" s="16">
        <f t="shared" si="33"/>
        <v>2.3846700284909254E-2</v>
      </c>
      <c r="K560" s="16">
        <f t="shared" si="34"/>
        <v>1.8255289429080165E-2</v>
      </c>
      <c r="L560" s="16">
        <f t="shared" si="35"/>
        <v>1.8289344175658192E-2</v>
      </c>
      <c r="M560" s="16">
        <f t="shared" si="36"/>
        <v>1.8289344175658192E-2</v>
      </c>
    </row>
    <row r="561" spans="1:13" x14ac:dyDescent="0.3">
      <c r="A561" t="s">
        <v>568</v>
      </c>
      <c r="B561" s="1">
        <v>2.05861821588051</v>
      </c>
      <c r="C561" s="1">
        <v>1.00437162366632</v>
      </c>
      <c r="D561" s="1">
        <v>1.3675199823517601</v>
      </c>
      <c r="E561" s="1">
        <v>0.966805382377389</v>
      </c>
      <c r="F561" s="1">
        <v>0.966805382377389</v>
      </c>
      <c r="G561" s="1">
        <v>0.966805382377389</v>
      </c>
      <c r="H561">
        <v>1340</v>
      </c>
      <c r="I561">
        <v>1203</v>
      </c>
      <c r="J561" s="16">
        <f t="shared" si="33"/>
        <v>-1.1292994985385132</v>
      </c>
      <c r="K561" s="16">
        <f t="shared" si="34"/>
        <v>-3.8856053114386988E-2</v>
      </c>
      <c r="L561" s="16">
        <f t="shared" si="35"/>
        <v>-0.41447286835434022</v>
      </c>
      <c r="M561" s="16">
        <f t="shared" si="36"/>
        <v>0.41447286835434022</v>
      </c>
    </row>
    <row r="562" spans="1:13" x14ac:dyDescent="0.3">
      <c r="A562" t="s">
        <v>569</v>
      </c>
      <c r="B562" s="1">
        <v>0.98928428906015498</v>
      </c>
      <c r="C562" s="1">
        <v>0.98917777438668997</v>
      </c>
      <c r="D562" s="1">
        <v>0.98932994439060096</v>
      </c>
      <c r="E562" s="1">
        <v>1.0035969418367301</v>
      </c>
      <c r="F562" s="1">
        <v>1.0035969418367301</v>
      </c>
      <c r="G562" s="1">
        <v>1.0035969418367301</v>
      </c>
      <c r="H562">
        <v>196</v>
      </c>
      <c r="I562">
        <v>196</v>
      </c>
      <c r="J562" s="16">
        <f t="shared" si="33"/>
        <v>1.426135551029167E-2</v>
      </c>
      <c r="K562" s="16">
        <f t="shared" si="34"/>
        <v>1.4367488429818179E-2</v>
      </c>
      <c r="L562" s="16">
        <f t="shared" si="35"/>
        <v>1.4215863810842659E-2</v>
      </c>
      <c r="M562" s="16">
        <f t="shared" si="36"/>
        <v>1.426135551029167E-2</v>
      </c>
    </row>
    <row r="563" spans="1:13" x14ac:dyDescent="0.3">
      <c r="A563" t="s">
        <v>570</v>
      </c>
      <c r="B563" s="1">
        <v>0.97788937688531896</v>
      </c>
      <c r="C563" s="1">
        <v>0.98976065520004997</v>
      </c>
      <c r="D563" s="1">
        <v>0.98530830851628104</v>
      </c>
      <c r="E563" s="1">
        <v>0.94756751543209805</v>
      </c>
      <c r="F563" s="1">
        <v>0.94756751543209805</v>
      </c>
      <c r="G563" s="1">
        <v>0.94756751543209805</v>
      </c>
      <c r="H563">
        <v>674</v>
      </c>
      <c r="I563">
        <v>648</v>
      </c>
      <c r="J563" s="16">
        <f t="shared" si="33"/>
        <v>-3.1999684412349141E-2</v>
      </c>
      <c r="K563" s="16">
        <f t="shared" si="34"/>
        <v>-4.4527845331117664E-2</v>
      </c>
      <c r="L563" s="16">
        <f t="shared" si="35"/>
        <v>-3.9829133512426181E-2</v>
      </c>
      <c r="M563" s="16">
        <f t="shared" si="36"/>
        <v>3.9829133512426181E-2</v>
      </c>
    </row>
    <row r="564" spans="1:13" x14ac:dyDescent="0.3">
      <c r="A564" t="s">
        <v>571</v>
      </c>
      <c r="B564" s="1">
        <v>1.0566870832440001</v>
      </c>
      <c r="C564" s="1">
        <v>1.0371376949758999</v>
      </c>
      <c r="D564" s="1">
        <v>1.00638333995526</v>
      </c>
      <c r="E564" s="1">
        <v>1.0264974715306101</v>
      </c>
      <c r="F564" s="1">
        <v>1.0264974715306101</v>
      </c>
      <c r="G564" s="1">
        <v>1.0264974715306101</v>
      </c>
      <c r="H564">
        <v>1019</v>
      </c>
      <c r="I564">
        <v>980</v>
      </c>
      <c r="J564" s="16">
        <f t="shared" si="33"/>
        <v>-2.9410312787594345E-2</v>
      </c>
      <c r="K564" s="16">
        <f t="shared" si="34"/>
        <v>-1.0365562254551075E-2</v>
      </c>
      <c r="L564" s="16">
        <f t="shared" si="35"/>
        <v>1.9594915850457927E-2</v>
      </c>
      <c r="M564" s="16">
        <f t="shared" si="36"/>
        <v>1.0365562254551075E-2</v>
      </c>
    </row>
    <row r="565" spans="1:13" x14ac:dyDescent="0.3">
      <c r="A565" t="s">
        <v>572</v>
      </c>
      <c r="B565" s="1">
        <v>0.93662434433166897</v>
      </c>
      <c r="C565" s="1">
        <v>0.94066201805687399</v>
      </c>
      <c r="D565" s="1">
        <v>0.95202325800546805</v>
      </c>
      <c r="E565" s="1">
        <v>0.96368211086226196</v>
      </c>
      <c r="F565" s="1">
        <v>0.96368211086226196</v>
      </c>
      <c r="G565" s="1">
        <v>0.96368211086226196</v>
      </c>
      <c r="H565">
        <v>1012</v>
      </c>
      <c r="I565">
        <v>893</v>
      </c>
      <c r="J565" s="16">
        <f t="shared" si="33"/>
        <v>2.8077481386868178E-2</v>
      </c>
      <c r="K565" s="16">
        <f t="shared" si="34"/>
        <v>2.3887641521943958E-2</v>
      </c>
      <c r="L565" s="16">
        <f t="shared" si="35"/>
        <v>1.2098235222361928E-2</v>
      </c>
      <c r="M565" s="16">
        <f t="shared" si="36"/>
        <v>2.3887641521943958E-2</v>
      </c>
    </row>
    <row r="566" spans="1:13" x14ac:dyDescent="0.3">
      <c r="A566" t="s">
        <v>573</v>
      </c>
      <c r="B566" s="1">
        <v>0.96439773030653198</v>
      </c>
      <c r="C566" s="1">
        <v>0.97789056309496303</v>
      </c>
      <c r="D566" s="1">
        <v>0.97710267074572099</v>
      </c>
      <c r="E566" s="1">
        <v>1.0062882316513699</v>
      </c>
      <c r="F566" s="1">
        <v>1.0062882316513699</v>
      </c>
      <c r="G566" s="1">
        <v>1.0062882316513699</v>
      </c>
      <c r="H566">
        <v>236</v>
      </c>
      <c r="I566">
        <v>218</v>
      </c>
      <c r="J566" s="16">
        <f t="shared" si="33"/>
        <v>4.1628730245700608E-2</v>
      </c>
      <c r="K566" s="16">
        <f t="shared" si="34"/>
        <v>2.8220213317813422E-2</v>
      </c>
      <c r="L566" s="16">
        <f t="shared" si="35"/>
        <v>2.9003182177490004E-2</v>
      </c>
      <c r="M566" s="16">
        <f t="shared" si="36"/>
        <v>2.9003182177490004E-2</v>
      </c>
    </row>
    <row r="567" spans="1:13" x14ac:dyDescent="0.3">
      <c r="A567" t="s">
        <v>574</v>
      </c>
      <c r="B567" s="1">
        <v>0.89393415428419198</v>
      </c>
      <c r="C567" s="1">
        <v>0.90890790621404305</v>
      </c>
      <c r="D567" s="1">
        <v>4.0824774236529802</v>
      </c>
      <c r="E567" s="1">
        <v>1.0039788393650699</v>
      </c>
      <c r="F567" s="1">
        <v>1.0039788393650699</v>
      </c>
      <c r="G567" s="1">
        <v>1.0039788393650699</v>
      </c>
      <c r="H567">
        <v>466</v>
      </c>
      <c r="I567">
        <v>315</v>
      </c>
      <c r="J567" s="16">
        <f t="shared" si="33"/>
        <v>0.10960857018706861</v>
      </c>
      <c r="K567" s="16">
        <f t="shared" si="34"/>
        <v>9.469416029838941E-2</v>
      </c>
      <c r="L567" s="16">
        <f t="shared" si="35"/>
        <v>-3.0662982760023061</v>
      </c>
      <c r="M567" s="16">
        <f t="shared" si="36"/>
        <v>9.469416029838941E-2</v>
      </c>
    </row>
    <row r="568" spans="1:13" x14ac:dyDescent="0.3">
      <c r="A568" t="s">
        <v>575</v>
      </c>
      <c r="B568" s="1">
        <v>0.97091131603808001</v>
      </c>
      <c r="C568" s="1">
        <v>0.978453172455787</v>
      </c>
      <c r="D568" s="1">
        <v>0.97995942891341903</v>
      </c>
      <c r="E568" s="1">
        <v>1.02531431471048</v>
      </c>
      <c r="F568" s="1">
        <v>1.02531431471048</v>
      </c>
      <c r="G568" s="1">
        <v>1.02531431471048</v>
      </c>
      <c r="H568">
        <v>664</v>
      </c>
      <c r="I568">
        <v>639</v>
      </c>
      <c r="J568" s="16">
        <f t="shared" si="33"/>
        <v>5.3059825549945462E-2</v>
      </c>
      <c r="K568" s="16">
        <f t="shared" si="34"/>
        <v>4.5704172449718729E-2</v>
      </c>
      <c r="L568" s="16">
        <f t="shared" si="35"/>
        <v>4.4235104441966051E-2</v>
      </c>
      <c r="M568" s="16">
        <f t="shared" si="36"/>
        <v>4.5704172449718729E-2</v>
      </c>
    </row>
    <row r="569" spans="1:13" x14ac:dyDescent="0.3">
      <c r="A569" t="s">
        <v>576</v>
      </c>
      <c r="B569" s="1">
        <v>1.2870618847398401</v>
      </c>
      <c r="C569" s="1">
        <v>0.97388129997165196</v>
      </c>
      <c r="D569" s="1">
        <v>0.97702343982099005</v>
      </c>
      <c r="E569" s="1">
        <v>0.97796969917218501</v>
      </c>
      <c r="F569" s="1">
        <v>0.97796969917218501</v>
      </c>
      <c r="G569" s="1">
        <v>0.97796969917218501</v>
      </c>
      <c r="H569">
        <v>635</v>
      </c>
      <c r="I569">
        <v>604</v>
      </c>
      <c r="J569" s="16">
        <f t="shared" si="33"/>
        <v>-0.31605497167170937</v>
      </c>
      <c r="K569" s="16">
        <f t="shared" si="34"/>
        <v>4.1804968027063958E-3</v>
      </c>
      <c r="L569" s="16">
        <f t="shared" si="35"/>
        <v>9.6757532671609377E-4</v>
      </c>
      <c r="M569" s="16">
        <f t="shared" si="36"/>
        <v>9.6757532671609377E-4</v>
      </c>
    </row>
    <row r="570" spans="1:13" x14ac:dyDescent="0.3">
      <c r="A570" t="s">
        <v>577</v>
      </c>
      <c r="B570" s="1">
        <v>1.0000748119798399</v>
      </c>
      <c r="C570" s="1">
        <v>2.00732416439071</v>
      </c>
      <c r="D570" s="1">
        <v>1.0000708385931201</v>
      </c>
      <c r="E570" s="1">
        <v>1.00209821607142</v>
      </c>
      <c r="F570" s="1">
        <v>1.00209821607142</v>
      </c>
      <c r="G570" s="1">
        <v>1.00209821607142</v>
      </c>
      <c r="H570">
        <v>308</v>
      </c>
      <c r="I570">
        <v>280</v>
      </c>
      <c r="J570" s="16">
        <f t="shared" si="33"/>
        <v>2.0191674420023857E-3</v>
      </c>
      <c r="K570" s="16">
        <f t="shared" si="34"/>
        <v>-1.0031211833308433</v>
      </c>
      <c r="L570" s="16">
        <f t="shared" si="35"/>
        <v>2.0231325091546316E-3</v>
      </c>
      <c r="M570" s="16">
        <f t="shared" si="36"/>
        <v>2.0191674420023857E-3</v>
      </c>
    </row>
    <row r="571" spans="1:13" x14ac:dyDescent="0.3">
      <c r="A571" t="s">
        <v>578</v>
      </c>
      <c r="B571" s="1">
        <v>0.99559794535290802</v>
      </c>
      <c r="C571" s="1">
        <v>0.98741123611635295</v>
      </c>
      <c r="D571" s="1">
        <v>0.95696538818675903</v>
      </c>
      <c r="E571" s="1">
        <v>1.0040256993576</v>
      </c>
      <c r="F571" s="1">
        <v>1.0040256993576</v>
      </c>
      <c r="G571" s="1">
        <v>1.0040256993576</v>
      </c>
      <c r="H571">
        <v>490</v>
      </c>
      <c r="I571">
        <v>467</v>
      </c>
      <c r="J571" s="16">
        <f t="shared" si="33"/>
        <v>8.3939624355076365E-3</v>
      </c>
      <c r="K571" s="16">
        <f t="shared" si="34"/>
        <v>1.654784658587662E-2</v>
      </c>
      <c r="L571" s="16">
        <f t="shared" si="35"/>
        <v>4.6871620119834881E-2</v>
      </c>
      <c r="M571" s="16">
        <f t="shared" si="36"/>
        <v>1.654784658587662E-2</v>
      </c>
    </row>
    <row r="572" spans="1:13" x14ac:dyDescent="0.3">
      <c r="A572" t="s">
        <v>579</v>
      </c>
      <c r="B572" s="1">
        <v>0.97405193476992202</v>
      </c>
      <c r="C572" s="1">
        <v>0.96926136977058397</v>
      </c>
      <c r="D572" s="1">
        <v>0.955054431616018</v>
      </c>
      <c r="E572" s="1">
        <v>1.00407986458333</v>
      </c>
      <c r="F572" s="1">
        <v>1.00407986458333</v>
      </c>
      <c r="G572" s="1">
        <v>1.00407986458333</v>
      </c>
      <c r="H572">
        <v>424</v>
      </c>
      <c r="I572">
        <v>384</v>
      </c>
      <c r="J572" s="16">
        <f t="shared" si="33"/>
        <v>2.9905917718874742E-2</v>
      </c>
      <c r="K572" s="16">
        <f t="shared" si="34"/>
        <v>3.4677017278097584E-2</v>
      </c>
      <c r="L572" s="16">
        <f t="shared" si="35"/>
        <v>4.8826228566645355E-2</v>
      </c>
      <c r="M572" s="16">
        <f t="shared" si="36"/>
        <v>3.4677017278097584E-2</v>
      </c>
    </row>
    <row r="573" spans="1:13" x14ac:dyDescent="0.3">
      <c r="A573" t="s">
        <v>580</v>
      </c>
      <c r="B573" s="1">
        <v>0.97449749235817196</v>
      </c>
      <c r="C573" s="1">
        <v>1.0299283505080901</v>
      </c>
      <c r="D573" s="1">
        <v>0.97440794485758297</v>
      </c>
      <c r="E573" s="1">
        <v>1.0057072373098399</v>
      </c>
      <c r="F573" s="1">
        <v>1.0057072373098399</v>
      </c>
      <c r="G573" s="1">
        <v>1.0057072373098399</v>
      </c>
      <c r="H573">
        <v>1346</v>
      </c>
      <c r="I573">
        <v>1249</v>
      </c>
      <c r="J573" s="16">
        <f t="shared" si="33"/>
        <v>3.1032634343122263E-2</v>
      </c>
      <c r="K573" s="16">
        <f t="shared" si="34"/>
        <v>-2.4083662023790402E-2</v>
      </c>
      <c r="L573" s="16">
        <f t="shared" si="35"/>
        <v>3.1121673675113662E-2</v>
      </c>
      <c r="M573" s="16">
        <f t="shared" si="36"/>
        <v>3.1032634343122263E-2</v>
      </c>
    </row>
    <row r="574" spans="1:13" x14ac:dyDescent="0.3">
      <c r="A574" t="s">
        <v>581</v>
      </c>
      <c r="B574" s="1">
        <v>0.95584865886067405</v>
      </c>
      <c r="C574" s="1">
        <v>0.96251345952089296</v>
      </c>
      <c r="D574" s="1">
        <v>0.95581206620516201</v>
      </c>
      <c r="E574" s="1">
        <v>1.0115229269607799</v>
      </c>
      <c r="F574" s="1">
        <v>1.0115229269607799</v>
      </c>
      <c r="G574" s="1">
        <v>1.0115229269607799</v>
      </c>
      <c r="H574">
        <v>450</v>
      </c>
      <c r="I574">
        <v>408</v>
      </c>
      <c r="J574" s="16">
        <f t="shared" si="33"/>
        <v>5.5040045673887691E-2</v>
      </c>
      <c r="K574" s="16">
        <f t="shared" si="34"/>
        <v>4.8451168167923539E-2</v>
      </c>
      <c r="L574" s="16">
        <f t="shared" si="35"/>
        <v>5.5076221478248338E-2</v>
      </c>
      <c r="M574" s="16">
        <f t="shared" si="36"/>
        <v>5.5040045673887691E-2</v>
      </c>
    </row>
    <row r="575" spans="1:13" x14ac:dyDescent="0.3">
      <c r="A575" t="s">
        <v>582</v>
      </c>
      <c r="B575" s="1">
        <v>1.35342215731283</v>
      </c>
      <c r="C575" s="1">
        <v>1.6447292674564</v>
      </c>
      <c r="D575" s="1">
        <v>1.23423007668396</v>
      </c>
      <c r="E575" s="1">
        <v>1.0057885525911701</v>
      </c>
      <c r="F575" s="1">
        <v>1.0057885525911701</v>
      </c>
      <c r="G575" s="1">
        <v>1.0057885525911701</v>
      </c>
      <c r="H575">
        <v>1164</v>
      </c>
      <c r="I575">
        <v>1042</v>
      </c>
      <c r="J575" s="16">
        <f t="shared" si="33"/>
        <v>-0.34563289055743013</v>
      </c>
      <c r="K575" s="16">
        <f t="shared" si="34"/>
        <v>-0.63526345892399982</v>
      </c>
      <c r="L575" s="16">
        <f t="shared" si="35"/>
        <v>-0.22712678873135492</v>
      </c>
      <c r="M575" s="16">
        <f t="shared" si="36"/>
        <v>0.34563289055743013</v>
      </c>
    </row>
    <row r="576" spans="1:13" x14ac:dyDescent="0.3">
      <c r="A576" t="s">
        <v>583</v>
      </c>
      <c r="B576" s="1">
        <v>0.97692312723688701</v>
      </c>
      <c r="C576" s="1">
        <v>0.97338621960543004</v>
      </c>
      <c r="D576" s="1">
        <v>0.976923127261074</v>
      </c>
      <c r="E576" s="1">
        <v>0.97027039007092197</v>
      </c>
      <c r="F576" s="1">
        <v>0.97027039007092197</v>
      </c>
      <c r="G576" s="1">
        <v>0.97027039007092197</v>
      </c>
      <c r="H576">
        <v>283</v>
      </c>
      <c r="I576">
        <v>282</v>
      </c>
      <c r="J576" s="16">
        <f t="shared" si="33"/>
        <v>-6.8565806336507466E-3</v>
      </c>
      <c r="K576" s="16">
        <f t="shared" si="34"/>
        <v>-3.2113002379473947E-3</v>
      </c>
      <c r="L576" s="16">
        <f t="shared" si="35"/>
        <v>-6.8565806585788348E-3</v>
      </c>
      <c r="M576" s="16">
        <f t="shared" si="36"/>
        <v>6.8565806336507466E-3</v>
      </c>
    </row>
    <row r="577" spans="1:13" x14ac:dyDescent="0.3">
      <c r="A577" t="s">
        <v>584</v>
      </c>
      <c r="B577" s="1">
        <v>0.98372042917311098</v>
      </c>
      <c r="C577" s="1">
        <v>0.97967187995680605</v>
      </c>
      <c r="D577" s="1">
        <v>0.96212575563133196</v>
      </c>
      <c r="E577" s="1">
        <v>0.98075398936170199</v>
      </c>
      <c r="F577" s="1">
        <v>0.98075398936170199</v>
      </c>
      <c r="G577" s="1">
        <v>0.98075398936170199</v>
      </c>
      <c r="H577">
        <v>510</v>
      </c>
      <c r="I577">
        <v>470</v>
      </c>
      <c r="J577" s="16">
        <f t="shared" si="33"/>
        <v>-3.0246523017863148E-3</v>
      </c>
      <c r="K577" s="16">
        <f t="shared" si="34"/>
        <v>1.1033443826215894E-3</v>
      </c>
      <c r="L577" s="16">
        <f t="shared" si="35"/>
        <v>1.8993788383663609E-2</v>
      </c>
      <c r="M577" s="16">
        <f t="shared" si="36"/>
        <v>1.1033443826215894E-3</v>
      </c>
    </row>
    <row r="578" spans="1:13" x14ac:dyDescent="0.3">
      <c r="A578" t="s">
        <v>585</v>
      </c>
      <c r="B578" s="1">
        <v>0.99481591219785603</v>
      </c>
      <c r="C578" s="1">
        <v>0.99481167503643397</v>
      </c>
      <c r="D578" s="1">
        <v>1.0214939768687401</v>
      </c>
      <c r="E578" s="1">
        <v>1.01835466848691</v>
      </c>
      <c r="F578" s="1">
        <v>1.01835466848691</v>
      </c>
      <c r="G578" s="1">
        <v>1.01835466848691</v>
      </c>
      <c r="H578">
        <v>901</v>
      </c>
      <c r="I578">
        <v>879</v>
      </c>
      <c r="J578" s="16">
        <f t="shared" si="33"/>
        <v>2.311449735289996E-2</v>
      </c>
      <c r="K578" s="16">
        <f t="shared" si="34"/>
        <v>2.3118658144373871E-2</v>
      </c>
      <c r="L578" s="16">
        <f t="shared" si="35"/>
        <v>-3.0827259686397046E-3</v>
      </c>
      <c r="M578" s="16">
        <f t="shared" si="36"/>
        <v>2.311449735289996E-2</v>
      </c>
    </row>
    <row r="579" spans="1:13" x14ac:dyDescent="0.3">
      <c r="A579" t="s">
        <v>586</v>
      </c>
      <c r="B579" s="1">
        <v>0.95560114555318498</v>
      </c>
      <c r="C579" s="1">
        <v>0.96038346194268098</v>
      </c>
      <c r="D579" s="1">
        <v>0.94514833321077296</v>
      </c>
      <c r="E579" s="1">
        <v>0.96231486486486395</v>
      </c>
      <c r="F579" s="1">
        <v>0.96231486486486395</v>
      </c>
      <c r="G579" s="1">
        <v>0.96231486486486395</v>
      </c>
      <c r="H579">
        <v>1031</v>
      </c>
      <c r="I579">
        <v>925</v>
      </c>
      <c r="J579" s="16">
        <f t="shared" ref="J579:J642" si="37">(E579-B579)/E579</f>
        <v>6.9766347344346197E-3</v>
      </c>
      <c r="K579" s="16">
        <f t="shared" ref="K579:K642" si="38">(F579-C579)/F579</f>
        <v>2.0070384368989155E-3</v>
      </c>
      <c r="L579" s="16">
        <f t="shared" ref="L579:L642" si="39">(G579-D579)/G579</f>
        <v>1.7838788821475444E-2</v>
      </c>
      <c r="M579" s="16">
        <f t="shared" ref="M579:M642" si="40">ABS(MEDIAN(J579:L579))</f>
        <v>6.9766347344346197E-3</v>
      </c>
    </row>
    <row r="580" spans="1:13" x14ac:dyDescent="0.3">
      <c r="A580" t="s">
        <v>587</v>
      </c>
      <c r="B580" s="1">
        <v>0.97893634991268696</v>
      </c>
      <c r="C580" s="1">
        <v>0.97893542793772503</v>
      </c>
      <c r="D580" s="1">
        <v>0.97119763642666002</v>
      </c>
      <c r="E580" s="1">
        <v>1.01009189501557</v>
      </c>
      <c r="F580" s="1">
        <v>1.01009189501557</v>
      </c>
      <c r="G580" s="1">
        <v>1.01009189501557</v>
      </c>
      <c r="H580">
        <v>647</v>
      </c>
      <c r="I580">
        <v>642</v>
      </c>
      <c r="J580" s="16">
        <f t="shared" si="37"/>
        <v>3.084426798851083E-2</v>
      </c>
      <c r="K580" s="16">
        <f t="shared" si="38"/>
        <v>3.0845180751959859E-2</v>
      </c>
      <c r="L580" s="16">
        <f t="shared" si="39"/>
        <v>3.8505663475609221E-2</v>
      </c>
      <c r="M580" s="16">
        <f t="shared" si="40"/>
        <v>3.0845180751959859E-2</v>
      </c>
    </row>
    <row r="581" spans="1:13" x14ac:dyDescent="0.3">
      <c r="A581" t="s">
        <v>588</v>
      </c>
      <c r="B581" s="1">
        <v>0.97949798488069595</v>
      </c>
      <c r="C581" s="1">
        <v>0.97949564153534696</v>
      </c>
      <c r="D581" s="1">
        <v>0.97951077121584096</v>
      </c>
      <c r="E581" s="1">
        <v>1.0228282917460301</v>
      </c>
      <c r="F581" s="1">
        <v>1.0228282917460301</v>
      </c>
      <c r="G581" s="1">
        <v>1.0228282917460301</v>
      </c>
      <c r="H581">
        <v>945</v>
      </c>
      <c r="I581">
        <v>945</v>
      </c>
      <c r="J581" s="16">
        <f t="shared" si="37"/>
        <v>4.2363226765429668E-2</v>
      </c>
      <c r="K581" s="16">
        <f t="shared" si="38"/>
        <v>4.2365517810141563E-2</v>
      </c>
      <c r="L581" s="16">
        <f t="shared" si="39"/>
        <v>4.2350725805837333E-2</v>
      </c>
      <c r="M581" s="16">
        <f t="shared" si="40"/>
        <v>4.2363226765429668E-2</v>
      </c>
    </row>
    <row r="582" spans="1:13" x14ac:dyDescent="0.3">
      <c r="A582" t="s">
        <v>589</v>
      </c>
      <c r="B582" s="1">
        <v>0.99268771272760603</v>
      </c>
      <c r="C582" s="1">
        <v>0.98786495318857404</v>
      </c>
      <c r="D582" s="1">
        <v>0.99268890855042302</v>
      </c>
      <c r="E582" s="1">
        <v>1.0064303537313399</v>
      </c>
      <c r="F582" s="1">
        <v>1.0064303537313399</v>
      </c>
      <c r="G582" s="1">
        <v>1.0064303537313399</v>
      </c>
      <c r="H582">
        <v>337</v>
      </c>
      <c r="I582">
        <v>335</v>
      </c>
      <c r="J582" s="16">
        <f t="shared" si="37"/>
        <v>1.3654835580806032E-2</v>
      </c>
      <c r="K582" s="16">
        <f t="shared" si="38"/>
        <v>1.8446781214352972E-2</v>
      </c>
      <c r="L582" s="16">
        <f t="shared" si="39"/>
        <v>1.3653647398422068E-2</v>
      </c>
      <c r="M582" s="16">
        <f t="shared" si="40"/>
        <v>1.3654835580806032E-2</v>
      </c>
    </row>
    <row r="583" spans="1:13" x14ac:dyDescent="0.3">
      <c r="A583" t="s">
        <v>590</v>
      </c>
      <c r="B583" s="1">
        <v>0.94407626115888699</v>
      </c>
      <c r="C583" s="1">
        <v>0.91071777980882795</v>
      </c>
      <c r="D583" s="1">
        <v>0.92994353648319905</v>
      </c>
      <c r="E583" s="1">
        <v>1.0065124957845399</v>
      </c>
      <c r="F583" s="1">
        <v>1.0065124957845399</v>
      </c>
      <c r="G583" s="1">
        <v>1.0065124957845399</v>
      </c>
      <c r="H583">
        <v>537</v>
      </c>
      <c r="I583">
        <v>427</v>
      </c>
      <c r="J583" s="16">
        <f t="shared" si="37"/>
        <v>6.20322498599346E-2</v>
      </c>
      <c r="K583" s="16">
        <f t="shared" si="38"/>
        <v>9.5174889906402493E-2</v>
      </c>
      <c r="L583" s="16">
        <f t="shared" si="39"/>
        <v>7.6073530752996929E-2</v>
      </c>
      <c r="M583" s="16">
        <f t="shared" si="40"/>
        <v>7.6073530752996929E-2</v>
      </c>
    </row>
    <row r="584" spans="1:13" x14ac:dyDescent="0.3">
      <c r="A584" t="s">
        <v>591</v>
      </c>
      <c r="B584" s="1">
        <v>1.0001001981183399</v>
      </c>
      <c r="C584" s="1">
        <v>0.99007123718324996</v>
      </c>
      <c r="D584" s="1">
        <v>0.94148936641035397</v>
      </c>
      <c r="E584" s="1">
        <v>1.01195343906976</v>
      </c>
      <c r="F584" s="1">
        <v>1.01195343906976</v>
      </c>
      <c r="G584" s="1">
        <v>1.01195343906976</v>
      </c>
      <c r="H584">
        <v>693</v>
      </c>
      <c r="I584">
        <v>645</v>
      </c>
      <c r="J584" s="16">
        <f t="shared" si="37"/>
        <v>1.1713227599005102E-2</v>
      </c>
      <c r="K584" s="16">
        <f t="shared" si="38"/>
        <v>2.1623724018987746E-2</v>
      </c>
      <c r="L584" s="16">
        <f t="shared" si="39"/>
        <v>6.9631733970073009E-2</v>
      </c>
      <c r="M584" s="16">
        <f t="shared" si="40"/>
        <v>2.1623724018987746E-2</v>
      </c>
    </row>
    <row r="585" spans="1:13" x14ac:dyDescent="0.3">
      <c r="A585" t="s">
        <v>592</v>
      </c>
      <c r="B585" s="1">
        <v>0.97074243532773896</v>
      </c>
      <c r="C585" s="1">
        <v>0.97423558964985202</v>
      </c>
      <c r="D585" s="1">
        <v>0.97668380833427304</v>
      </c>
      <c r="E585" s="1">
        <v>0.967283745247148</v>
      </c>
      <c r="F585" s="1">
        <v>0.967283745247148</v>
      </c>
      <c r="G585" s="1">
        <v>0.967283745247148</v>
      </c>
      <c r="H585">
        <v>814</v>
      </c>
      <c r="I585">
        <v>789</v>
      </c>
      <c r="J585" s="16">
        <f t="shared" si="37"/>
        <v>-3.5756726995419988E-3</v>
      </c>
      <c r="K585" s="16">
        <f t="shared" si="38"/>
        <v>-7.1869753181138954E-3</v>
      </c>
      <c r="L585" s="16">
        <f t="shared" si="39"/>
        <v>-9.7179996390027827E-3</v>
      </c>
      <c r="M585" s="16">
        <f t="shared" si="40"/>
        <v>7.1869753181138954E-3</v>
      </c>
    </row>
    <row r="586" spans="1:13" x14ac:dyDescent="0.3">
      <c r="A586" t="s">
        <v>593</v>
      </c>
      <c r="B586" s="1">
        <v>1.6631185283751699</v>
      </c>
      <c r="C586" s="1">
        <v>2.7356729720862498</v>
      </c>
      <c r="D586" s="1">
        <v>3.3606150089743099</v>
      </c>
      <c r="E586" s="1">
        <v>1.00450932401315</v>
      </c>
      <c r="F586" s="1">
        <v>1.00450932401315</v>
      </c>
      <c r="G586" s="1">
        <v>1.00450932401315</v>
      </c>
      <c r="H586">
        <v>815</v>
      </c>
      <c r="I586">
        <v>608</v>
      </c>
      <c r="J586" s="16">
        <f t="shared" si="37"/>
        <v>-0.65565265410458073</v>
      </c>
      <c r="K586" s="16">
        <f t="shared" si="38"/>
        <v>-1.7233923137287248</v>
      </c>
      <c r="L586" s="16">
        <f t="shared" si="39"/>
        <v>-2.3455289350109769</v>
      </c>
      <c r="M586" s="16">
        <f t="shared" si="40"/>
        <v>1.7233923137287248</v>
      </c>
    </row>
    <row r="587" spans="1:13" x14ac:dyDescent="0.3">
      <c r="A587" t="s">
        <v>594</v>
      </c>
      <c r="B587" s="1">
        <v>0.99860042273531802</v>
      </c>
      <c r="C587" s="1">
        <v>0.99860107497977901</v>
      </c>
      <c r="D587" s="1">
        <v>1.00084400593378</v>
      </c>
      <c r="E587" s="1">
        <v>1.00871349056179</v>
      </c>
      <c r="F587" s="1">
        <v>1.00871349056179</v>
      </c>
      <c r="G587" s="1">
        <v>1.00871349056179</v>
      </c>
      <c r="H587">
        <v>447</v>
      </c>
      <c r="I587">
        <v>445</v>
      </c>
      <c r="J587" s="16">
        <f t="shared" si="37"/>
        <v>1.0025708906539645E-2</v>
      </c>
      <c r="K587" s="16">
        <f t="shared" si="38"/>
        <v>1.0025062296310776E-2</v>
      </c>
      <c r="L587" s="16">
        <f t="shared" si="39"/>
        <v>7.8015062767002969E-3</v>
      </c>
      <c r="M587" s="16">
        <f t="shared" si="40"/>
        <v>1.0025062296310776E-2</v>
      </c>
    </row>
    <row r="588" spans="1:13" x14ac:dyDescent="0.3">
      <c r="A588" t="s">
        <v>595</v>
      </c>
      <c r="B588" s="1">
        <v>0.99922706756834601</v>
      </c>
      <c r="C588" s="1">
        <v>0.99991639317268899</v>
      </c>
      <c r="D588" s="1">
        <v>0.99957095321268896</v>
      </c>
      <c r="E588" s="1">
        <v>0.92029847094801198</v>
      </c>
      <c r="F588" s="1">
        <v>0.92029847094801198</v>
      </c>
      <c r="G588" s="1">
        <v>0.92029847094801198</v>
      </c>
      <c r="H588">
        <v>327</v>
      </c>
      <c r="I588">
        <v>327</v>
      </c>
      <c r="J588" s="16">
        <f t="shared" si="37"/>
        <v>-8.5764128825541353E-2</v>
      </c>
      <c r="K588" s="16">
        <f t="shared" si="38"/>
        <v>-8.6513152784728084E-2</v>
      </c>
      <c r="L588" s="16">
        <f t="shared" si="39"/>
        <v>-8.6137796342329376E-2</v>
      </c>
      <c r="M588" s="16">
        <f t="shared" si="40"/>
        <v>8.6137796342329376E-2</v>
      </c>
    </row>
    <row r="589" spans="1:13" x14ac:dyDescent="0.3">
      <c r="A589" t="s">
        <v>596</v>
      </c>
      <c r="B589" s="1">
        <v>0.99064958628073896</v>
      </c>
      <c r="C589" s="1">
        <v>0.99065604001454299</v>
      </c>
      <c r="D589" s="1">
        <v>1.0003617938984599</v>
      </c>
      <c r="E589" s="1">
        <v>0.93224422574257404</v>
      </c>
      <c r="F589" s="1">
        <v>0.93224422574257404</v>
      </c>
      <c r="G589" s="1">
        <v>0.93224422574257404</v>
      </c>
      <c r="H589">
        <v>103</v>
      </c>
      <c r="I589">
        <v>101</v>
      </c>
      <c r="J589" s="16">
        <f t="shared" si="37"/>
        <v>-6.2650278677395338E-2</v>
      </c>
      <c r="K589" s="16">
        <f t="shared" si="38"/>
        <v>-6.2657201470399396E-2</v>
      </c>
      <c r="L589" s="16">
        <f t="shared" si="39"/>
        <v>-7.3068372294424463E-2</v>
      </c>
      <c r="M589" s="16">
        <f t="shared" si="40"/>
        <v>6.2657201470399396E-2</v>
      </c>
    </row>
    <row r="590" spans="1:13" x14ac:dyDescent="0.3">
      <c r="A590" t="s">
        <v>597</v>
      </c>
      <c r="B590" s="1">
        <v>1.5931044761656801</v>
      </c>
      <c r="C590" s="1">
        <v>5.1345755097746704</v>
      </c>
      <c r="D590" s="1">
        <v>2.1150447461505801</v>
      </c>
      <c r="E590" s="1">
        <v>1.00391667</v>
      </c>
      <c r="F590" s="1">
        <v>1.00391667</v>
      </c>
      <c r="G590" s="1">
        <v>1.00391667</v>
      </c>
      <c r="H590">
        <v>894</v>
      </c>
      <c r="I590">
        <v>660</v>
      </c>
      <c r="J590" s="16">
        <f t="shared" si="37"/>
        <v>-0.58688915501889227</v>
      </c>
      <c r="K590" s="16">
        <f t="shared" si="38"/>
        <v>-4.1145435305648137</v>
      </c>
      <c r="L590" s="16">
        <f t="shared" si="39"/>
        <v>-1.1067931326915612</v>
      </c>
      <c r="M590" s="16">
        <f t="shared" si="40"/>
        <v>1.1067931326915612</v>
      </c>
    </row>
    <row r="591" spans="1:13" x14ac:dyDescent="0.3">
      <c r="A591" t="s">
        <v>598</v>
      </c>
      <c r="B591" s="1">
        <v>0.98935128448448095</v>
      </c>
      <c r="C591" s="1">
        <v>0.99910594471015501</v>
      </c>
      <c r="D591" s="1">
        <v>0.99903446038928601</v>
      </c>
      <c r="E591" s="1">
        <v>1.01727702276341</v>
      </c>
      <c r="F591" s="1">
        <v>1.01727702276341</v>
      </c>
      <c r="G591" s="1">
        <v>1.01727702276341</v>
      </c>
      <c r="H591">
        <v>1046</v>
      </c>
      <c r="I591">
        <v>1006</v>
      </c>
      <c r="J591" s="16">
        <f t="shared" si="37"/>
        <v>2.7451458800346676E-2</v>
      </c>
      <c r="K591" s="16">
        <f t="shared" si="38"/>
        <v>1.78624677906257E-2</v>
      </c>
      <c r="L591" s="16">
        <f t="shared" si="39"/>
        <v>1.7932738050613312E-2</v>
      </c>
      <c r="M591" s="16">
        <f t="shared" si="40"/>
        <v>1.7932738050613312E-2</v>
      </c>
    </row>
    <row r="592" spans="1:13" x14ac:dyDescent="0.3">
      <c r="A592" t="s">
        <v>599</v>
      </c>
      <c r="B592" s="1">
        <v>0.97476454458335005</v>
      </c>
      <c r="C592" s="1">
        <v>0.95154859383187196</v>
      </c>
      <c r="D592" s="1">
        <v>0.95774288357090898</v>
      </c>
      <c r="E592" s="1">
        <v>1.0062600241866999</v>
      </c>
      <c r="F592" s="1">
        <v>1.0062600241866999</v>
      </c>
      <c r="G592" s="1">
        <v>1.0062600241866999</v>
      </c>
      <c r="H592">
        <v>792</v>
      </c>
      <c r="I592">
        <v>707</v>
      </c>
      <c r="J592" s="16">
        <f t="shared" si="37"/>
        <v>3.1299543702738054E-2</v>
      </c>
      <c r="K592" s="16">
        <f t="shared" si="38"/>
        <v>5.4371066165574793E-2</v>
      </c>
      <c r="L592" s="16">
        <f t="shared" si="39"/>
        <v>4.8215311599011844E-2</v>
      </c>
      <c r="M592" s="16">
        <f t="shared" si="40"/>
        <v>4.8215311599011844E-2</v>
      </c>
    </row>
    <row r="593" spans="1:13" x14ac:dyDescent="0.3">
      <c r="A593" t="s">
        <v>600</v>
      </c>
      <c r="B593" s="1">
        <v>1.35372931526066</v>
      </c>
      <c r="C593" s="1">
        <v>1.31066563979561</v>
      </c>
      <c r="D593" s="1">
        <v>1.88249564000848</v>
      </c>
      <c r="E593" s="1">
        <v>1.00673542654075</v>
      </c>
      <c r="F593" s="1">
        <v>1.00673542654075</v>
      </c>
      <c r="G593" s="1">
        <v>1.00673542654075</v>
      </c>
      <c r="H593">
        <v>1242</v>
      </c>
      <c r="I593">
        <v>1006</v>
      </c>
      <c r="J593" s="16">
        <f t="shared" si="37"/>
        <v>-0.34467237326912981</v>
      </c>
      <c r="K593" s="16">
        <f t="shared" si="38"/>
        <v>-0.30189680947177611</v>
      </c>
      <c r="L593" s="16">
        <f t="shared" si="39"/>
        <v>-0.86990105878853918</v>
      </c>
      <c r="M593" s="16">
        <f t="shared" si="40"/>
        <v>0.34467237326912981</v>
      </c>
    </row>
    <row r="594" spans="1:13" x14ac:dyDescent="0.3">
      <c r="A594" t="s">
        <v>601</v>
      </c>
      <c r="B594" s="1">
        <v>0.99184057580266105</v>
      </c>
      <c r="C594" s="1">
        <v>0.991849836945353</v>
      </c>
      <c r="D594" s="1">
        <v>0.98577460180629894</v>
      </c>
      <c r="E594" s="1">
        <v>1.0156212002074601</v>
      </c>
      <c r="F594" s="1">
        <v>1.0156212002074601</v>
      </c>
      <c r="G594" s="1">
        <v>1.0156212002074601</v>
      </c>
      <c r="H594">
        <v>485</v>
      </c>
      <c r="I594">
        <v>482</v>
      </c>
      <c r="J594" s="16">
        <f t="shared" si="37"/>
        <v>2.3414856247527475E-2</v>
      </c>
      <c r="K594" s="16">
        <f t="shared" si="38"/>
        <v>2.3405737549837768E-2</v>
      </c>
      <c r="L594" s="16">
        <f t="shared" si="39"/>
        <v>2.9387529912790682E-2</v>
      </c>
      <c r="M594" s="16">
        <f t="shared" si="40"/>
        <v>2.3414856247527475E-2</v>
      </c>
    </row>
    <row r="595" spans="1:13" x14ac:dyDescent="0.3">
      <c r="A595" t="s">
        <v>602</v>
      </c>
      <c r="B595" s="1">
        <v>0.98402145901670202</v>
      </c>
      <c r="C595" s="1">
        <v>0.98899281487233504</v>
      </c>
      <c r="D595" s="1">
        <v>0.98899638511740395</v>
      </c>
      <c r="E595" s="1">
        <v>1.0084232986610799</v>
      </c>
      <c r="F595" s="1">
        <v>1.0084232986610799</v>
      </c>
      <c r="G595" s="1">
        <v>1.0084232986610799</v>
      </c>
      <c r="H595">
        <v>1201</v>
      </c>
      <c r="I595">
        <v>1195</v>
      </c>
      <c r="J595" s="16">
        <f t="shared" si="37"/>
        <v>2.4198012557600686E-2</v>
      </c>
      <c r="K595" s="16">
        <f t="shared" si="38"/>
        <v>1.9268182135957646E-2</v>
      </c>
      <c r="L595" s="16">
        <f t="shared" si="39"/>
        <v>1.9264641712929281E-2</v>
      </c>
      <c r="M595" s="16">
        <f t="shared" si="40"/>
        <v>1.9268182135957646E-2</v>
      </c>
    </row>
    <row r="596" spans="1:13" x14ac:dyDescent="0.3">
      <c r="A596" t="s">
        <v>603</v>
      </c>
      <c r="B596" s="1">
        <v>1.0062365871105701</v>
      </c>
      <c r="C596" s="1">
        <v>1.0061785299710899</v>
      </c>
      <c r="D596" s="1">
        <v>1.0061337550145</v>
      </c>
      <c r="E596" s="1">
        <v>1.00141323144329</v>
      </c>
      <c r="F596" s="1">
        <v>1.00141323144329</v>
      </c>
      <c r="G596" s="1">
        <v>1.00141323144329</v>
      </c>
      <c r="H596">
        <v>388</v>
      </c>
      <c r="I596">
        <v>388</v>
      </c>
      <c r="J596" s="16">
        <f t="shared" si="37"/>
        <v>-4.8165487691114459E-3</v>
      </c>
      <c r="K596" s="16">
        <f t="shared" si="38"/>
        <v>-4.7585735620168934E-3</v>
      </c>
      <c r="L596" s="16">
        <f t="shared" si="39"/>
        <v>-4.7138617935040972E-3</v>
      </c>
      <c r="M596" s="16">
        <f t="shared" si="40"/>
        <v>4.7585735620168934E-3</v>
      </c>
    </row>
    <row r="597" spans="1:13" x14ac:dyDescent="0.3">
      <c r="A597" t="s">
        <v>604</v>
      </c>
      <c r="B597" s="1">
        <v>1.2037238121407099</v>
      </c>
      <c r="C597" s="1">
        <v>1.27817799940525</v>
      </c>
      <c r="D597" s="1">
        <v>1.07902364545353</v>
      </c>
      <c r="E597" s="1">
        <v>1.0291368869813999</v>
      </c>
      <c r="F597" s="1">
        <v>1.0291368869813999</v>
      </c>
      <c r="G597" s="1">
        <v>1.0291368869813999</v>
      </c>
      <c r="H597">
        <v>1728</v>
      </c>
      <c r="I597">
        <v>1398</v>
      </c>
      <c r="J597" s="16">
        <f t="shared" si="37"/>
        <v>-0.16964402633686315</v>
      </c>
      <c r="K597" s="16">
        <f t="shared" si="38"/>
        <v>-0.24199026929675208</v>
      </c>
      <c r="L597" s="16">
        <f t="shared" si="39"/>
        <v>-4.8474366338626548E-2</v>
      </c>
      <c r="M597" s="16">
        <f t="shared" si="40"/>
        <v>0.16964402633686315</v>
      </c>
    </row>
    <row r="598" spans="1:13" x14ac:dyDescent="0.3">
      <c r="A598" t="s">
        <v>605</v>
      </c>
      <c r="B598" s="1">
        <v>0.96305625854105703</v>
      </c>
      <c r="C598" s="1">
        <v>0.97743297694994202</v>
      </c>
      <c r="D598" s="1">
        <v>0.96747416002669995</v>
      </c>
      <c r="E598" s="1"/>
      <c r="F598" s="1"/>
      <c r="G598" s="1"/>
      <c r="H598">
        <v>269</v>
      </c>
      <c r="I598">
        <v>0</v>
      </c>
      <c r="J598" s="16" t="e">
        <f t="shared" si="37"/>
        <v>#DIV/0!</v>
      </c>
      <c r="K598" s="16" t="e">
        <f t="shared" si="38"/>
        <v>#DIV/0!</v>
      </c>
      <c r="L598" s="16" t="e">
        <f t="shared" si="39"/>
        <v>#DIV/0!</v>
      </c>
      <c r="M598" s="16" t="e">
        <f t="shared" si="40"/>
        <v>#DIV/0!</v>
      </c>
    </row>
    <row r="599" spans="1:13" x14ac:dyDescent="0.3">
      <c r="A599" t="s">
        <v>606</v>
      </c>
      <c r="B599" s="1">
        <v>0.94130285945627501</v>
      </c>
      <c r="C599" s="1">
        <v>0.949427212968734</v>
      </c>
      <c r="D599" s="1">
        <v>0.94118630893811195</v>
      </c>
      <c r="E599" s="1">
        <v>1.0037684048895801</v>
      </c>
      <c r="F599" s="1">
        <v>1.0037684048895801</v>
      </c>
      <c r="G599" s="1">
        <v>1.0037684048895801</v>
      </c>
      <c r="H599">
        <v>757</v>
      </c>
      <c r="I599">
        <v>634</v>
      </c>
      <c r="J599" s="16">
        <f t="shared" si="37"/>
        <v>6.223103370162026E-2</v>
      </c>
      <c r="K599" s="16">
        <f t="shared" si="38"/>
        <v>5.4137181102869941E-2</v>
      </c>
      <c r="L599" s="16">
        <f t="shared" si="39"/>
        <v>6.2347146659146438E-2</v>
      </c>
      <c r="M599" s="16">
        <f t="shared" si="40"/>
        <v>6.223103370162026E-2</v>
      </c>
    </row>
    <row r="600" spans="1:13" x14ac:dyDescent="0.3">
      <c r="A600" t="s">
        <v>607</v>
      </c>
      <c r="B600" s="1">
        <v>1.0145331430315701</v>
      </c>
      <c r="C600" s="1">
        <v>1.0114176210727099</v>
      </c>
      <c r="D600" s="1">
        <v>1.0094354399798</v>
      </c>
      <c r="E600" s="1">
        <v>1.00453299878172</v>
      </c>
      <c r="F600" s="1">
        <v>1.00453299878172</v>
      </c>
      <c r="G600" s="1">
        <v>1.00453299878172</v>
      </c>
      <c r="H600">
        <v>993</v>
      </c>
      <c r="I600">
        <v>985</v>
      </c>
      <c r="J600" s="16">
        <f t="shared" si="37"/>
        <v>-9.9550181646377699E-3</v>
      </c>
      <c r="K600" s="16">
        <f t="shared" si="38"/>
        <v>-6.8535551339174629E-3</v>
      </c>
      <c r="L600" s="16">
        <f t="shared" si="39"/>
        <v>-4.8803187192711702E-3</v>
      </c>
      <c r="M600" s="16">
        <f t="shared" si="40"/>
        <v>6.8535551339174629E-3</v>
      </c>
    </row>
    <row r="601" spans="1:13" x14ac:dyDescent="0.3">
      <c r="A601" t="s">
        <v>608</v>
      </c>
      <c r="B601" s="1">
        <v>0.99190565139110298</v>
      </c>
      <c r="C601" s="1">
        <v>0.98951949859830102</v>
      </c>
      <c r="D601" s="1">
        <v>0.99190565177758805</v>
      </c>
      <c r="E601" s="1">
        <v>1.0090998081437099</v>
      </c>
      <c r="F601" s="1">
        <v>1.0090998081437099</v>
      </c>
      <c r="G601" s="1">
        <v>1.0090998081437099</v>
      </c>
      <c r="H601">
        <v>837</v>
      </c>
      <c r="I601">
        <v>835</v>
      </c>
      <c r="J601" s="16">
        <f t="shared" si="37"/>
        <v>1.7039104173685711E-2</v>
      </c>
      <c r="K601" s="16">
        <f t="shared" si="38"/>
        <v>1.9403739241044819E-2</v>
      </c>
      <c r="L601" s="16">
        <f t="shared" si="39"/>
        <v>1.7039103790685871E-2</v>
      </c>
      <c r="M601" s="16">
        <f t="shared" si="40"/>
        <v>1.7039104173685711E-2</v>
      </c>
    </row>
    <row r="602" spans="1:13" x14ac:dyDescent="0.3">
      <c r="A602" t="s">
        <v>609</v>
      </c>
      <c r="B602" s="1">
        <v>0.99730824498817605</v>
      </c>
      <c r="C602" s="1">
        <v>0.99361504198917605</v>
      </c>
      <c r="D602" s="1">
        <v>0.99003335912743595</v>
      </c>
      <c r="E602" s="1">
        <v>1.00654418479899</v>
      </c>
      <c r="F602" s="1">
        <v>1.00654418479899</v>
      </c>
      <c r="G602" s="1">
        <v>1.00654418479899</v>
      </c>
      <c r="H602">
        <v>847</v>
      </c>
      <c r="I602">
        <v>796</v>
      </c>
      <c r="J602" s="16">
        <f t="shared" si="37"/>
        <v>9.1758910838657202E-3</v>
      </c>
      <c r="K602" s="16">
        <f t="shared" si="38"/>
        <v>1.2845082218020993E-2</v>
      </c>
      <c r="L602" s="16">
        <f t="shared" si="39"/>
        <v>1.6403478278354273E-2</v>
      </c>
      <c r="M602" s="16">
        <f t="shared" si="40"/>
        <v>1.2845082218020993E-2</v>
      </c>
    </row>
    <row r="603" spans="1:13" x14ac:dyDescent="0.3">
      <c r="A603" t="s">
        <v>610</v>
      </c>
      <c r="B603" s="1">
        <v>1.15698971548555</v>
      </c>
      <c r="C603" s="1">
        <v>1.1068191913260701</v>
      </c>
      <c r="D603" s="1">
        <v>1.07127602289891</v>
      </c>
      <c r="E603" s="1">
        <v>0.96866645781119398</v>
      </c>
      <c r="F603" s="1">
        <v>0.96866645781119398</v>
      </c>
      <c r="G603" s="1">
        <v>0.96866645781119398</v>
      </c>
      <c r="H603">
        <v>1413</v>
      </c>
      <c r="I603">
        <v>1197</v>
      </c>
      <c r="J603" s="16">
        <f t="shared" si="37"/>
        <v>-0.19441496725291038</v>
      </c>
      <c r="K603" s="16">
        <f t="shared" si="38"/>
        <v>-0.14262157257622718</v>
      </c>
      <c r="L603" s="16">
        <f t="shared" si="39"/>
        <v>-0.10592868604077957</v>
      </c>
      <c r="M603" s="16">
        <f t="shared" si="40"/>
        <v>0.14262157257622718</v>
      </c>
    </row>
    <row r="604" spans="1:13" x14ac:dyDescent="0.3">
      <c r="A604" t="s">
        <v>611</v>
      </c>
      <c r="B604" s="1">
        <v>1.20014634134224</v>
      </c>
      <c r="C604" s="1">
        <v>1.68850238969726</v>
      </c>
      <c r="D604" s="1">
        <v>1.68822900481192</v>
      </c>
      <c r="E604" s="1">
        <v>1.0039942278217799</v>
      </c>
      <c r="F604" s="1">
        <v>1.0039942278217799</v>
      </c>
      <c r="G604" s="1">
        <v>1.0039942278217799</v>
      </c>
      <c r="H604">
        <v>1238</v>
      </c>
      <c r="I604">
        <v>1010</v>
      </c>
      <c r="J604" s="16">
        <f t="shared" si="37"/>
        <v>-0.19537175422414799</v>
      </c>
      <c r="K604" s="16">
        <f t="shared" si="38"/>
        <v>-0.68178495743004186</v>
      </c>
      <c r="L604" s="16">
        <f t="shared" si="39"/>
        <v>-0.68151266016202561</v>
      </c>
      <c r="M604" s="16">
        <f t="shared" si="40"/>
        <v>0.68151266016202561</v>
      </c>
    </row>
    <row r="605" spans="1:13" x14ac:dyDescent="0.3">
      <c r="A605" t="s">
        <v>612</v>
      </c>
      <c r="B605" s="1">
        <v>1.00334724095685</v>
      </c>
      <c r="C605" s="1">
        <v>1.0010298950418799</v>
      </c>
      <c r="D605" s="1">
        <v>1.00006982843701</v>
      </c>
      <c r="E605" s="1">
        <v>1.07249374688221</v>
      </c>
      <c r="F605" s="1">
        <v>1.07249374688221</v>
      </c>
      <c r="G605" s="1">
        <v>1.07249374688221</v>
      </c>
      <c r="H605">
        <v>871</v>
      </c>
      <c r="I605">
        <v>866</v>
      </c>
      <c r="J605" s="16">
        <f t="shared" si="37"/>
        <v>6.4472642499196042E-2</v>
      </c>
      <c r="K605" s="16">
        <f t="shared" si="38"/>
        <v>6.6633350588829909E-2</v>
      </c>
      <c r="L605" s="16">
        <f t="shared" si="39"/>
        <v>6.7528522805601218E-2</v>
      </c>
      <c r="M605" s="16">
        <f t="shared" si="40"/>
        <v>6.6633350588829909E-2</v>
      </c>
    </row>
    <row r="606" spans="1:13" x14ac:dyDescent="0.3">
      <c r="A606" t="s">
        <v>613</v>
      </c>
      <c r="B606" s="1">
        <v>0.99628973588366698</v>
      </c>
      <c r="C606" s="1">
        <v>0.99258290813875605</v>
      </c>
      <c r="D606" s="1">
        <v>0.99628973587390501</v>
      </c>
      <c r="E606" s="1">
        <v>1.0048048368029701</v>
      </c>
      <c r="F606" s="1">
        <v>1.0048048368029701</v>
      </c>
      <c r="G606" s="1">
        <v>1.0048048368029701</v>
      </c>
      <c r="H606">
        <v>270</v>
      </c>
      <c r="I606">
        <v>269</v>
      </c>
      <c r="J606" s="16">
        <f t="shared" si="37"/>
        <v>8.4743828924987372E-3</v>
      </c>
      <c r="K606" s="16">
        <f t="shared" si="38"/>
        <v>1.2163485103337118E-2</v>
      </c>
      <c r="L606" s="16">
        <f t="shared" si="39"/>
        <v>8.4743829022140265E-3</v>
      </c>
      <c r="M606" s="16">
        <f t="shared" si="40"/>
        <v>8.4743829022140265E-3</v>
      </c>
    </row>
    <row r="607" spans="1:13" x14ac:dyDescent="0.3">
      <c r="A607" t="s">
        <v>614</v>
      </c>
      <c r="B607" s="1">
        <v>0.92452478694959095</v>
      </c>
      <c r="C607" s="1">
        <v>0.95224693440445995</v>
      </c>
      <c r="D607" s="1">
        <v>0.93316493671002199</v>
      </c>
      <c r="E607" s="1">
        <v>1.0059068109048701</v>
      </c>
      <c r="F607" s="1">
        <v>1.0059068109048701</v>
      </c>
      <c r="G607" s="1">
        <v>1.0059068109048701</v>
      </c>
      <c r="H607">
        <v>536</v>
      </c>
      <c r="I607">
        <v>431</v>
      </c>
      <c r="J607" s="16">
        <f t="shared" si="37"/>
        <v>8.0904138507692791E-2</v>
      </c>
      <c r="K607" s="16">
        <f t="shared" si="38"/>
        <v>5.3344778978223699E-2</v>
      </c>
      <c r="L607" s="16">
        <f t="shared" si="39"/>
        <v>7.2314724789876592E-2</v>
      </c>
      <c r="M607" s="16">
        <f t="shared" si="40"/>
        <v>7.2314724789876592E-2</v>
      </c>
    </row>
    <row r="608" spans="1:13" x14ac:dyDescent="0.3">
      <c r="A608" t="s">
        <v>615</v>
      </c>
      <c r="B608" s="1">
        <v>0.98327012272146097</v>
      </c>
      <c r="C608" s="1">
        <v>0.98327012272576797</v>
      </c>
      <c r="D608" s="1">
        <v>0.983270122703506</v>
      </c>
      <c r="E608" s="1">
        <v>1.00643452928571</v>
      </c>
      <c r="F608" s="1">
        <v>1.00643452928571</v>
      </c>
      <c r="G608" s="1">
        <v>1.00643452928571</v>
      </c>
      <c r="H608">
        <v>140</v>
      </c>
      <c r="I608">
        <v>140</v>
      </c>
      <c r="J608" s="16">
        <f t="shared" si="37"/>
        <v>2.30163074598497E-2</v>
      </c>
      <c r="K608" s="16">
        <f t="shared" si="38"/>
        <v>2.3016307455570238E-2</v>
      </c>
      <c r="L608" s="16">
        <f t="shared" si="39"/>
        <v>2.3016307477689877E-2</v>
      </c>
      <c r="M608" s="16">
        <f t="shared" si="40"/>
        <v>2.30163074598497E-2</v>
      </c>
    </row>
    <row r="609" spans="1:13" x14ac:dyDescent="0.3">
      <c r="A609" t="s">
        <v>616</v>
      </c>
      <c r="B609" s="1">
        <v>1.00888584355066</v>
      </c>
      <c r="C609" s="1">
        <v>1.0045133330243099</v>
      </c>
      <c r="D609" s="1">
        <v>1.0089408702131</v>
      </c>
      <c r="E609" s="1">
        <v>1.00069629688888</v>
      </c>
      <c r="F609" s="1">
        <v>1.00069629688888</v>
      </c>
      <c r="G609" s="1">
        <v>1.00069629688888</v>
      </c>
      <c r="H609">
        <v>226</v>
      </c>
      <c r="I609">
        <v>225</v>
      </c>
      <c r="J609" s="16">
        <f t="shared" si="37"/>
        <v>-8.1838482736880328E-3</v>
      </c>
      <c r="K609" s="16">
        <f t="shared" si="38"/>
        <v>-3.8143801943675976E-3</v>
      </c>
      <c r="L609" s="16">
        <f t="shared" si="39"/>
        <v>-8.2388366478940989E-3</v>
      </c>
      <c r="M609" s="16">
        <f t="shared" si="40"/>
        <v>8.1838482736880328E-3</v>
      </c>
    </row>
    <row r="610" spans="1:13" x14ac:dyDescent="0.3">
      <c r="A610" t="s">
        <v>617</v>
      </c>
      <c r="B610" s="1">
        <v>1.0040595625655899</v>
      </c>
      <c r="C610" s="1">
        <v>0.99555265894115497</v>
      </c>
      <c r="D610" s="1">
        <v>0.99342456359924203</v>
      </c>
      <c r="E610" s="1">
        <v>1.0285950691527099</v>
      </c>
      <c r="F610" s="1">
        <v>1.0285950691527099</v>
      </c>
      <c r="G610" s="1">
        <v>1.0285950691527099</v>
      </c>
      <c r="H610">
        <v>2025</v>
      </c>
      <c r="I610">
        <v>1971</v>
      </c>
      <c r="J610" s="16">
        <f t="shared" si="37"/>
        <v>2.3853416492974993E-2</v>
      </c>
      <c r="K610" s="16">
        <f t="shared" si="38"/>
        <v>3.2123827152674533E-2</v>
      </c>
      <c r="L610" s="16">
        <f t="shared" si="39"/>
        <v>3.4192761182920202E-2</v>
      </c>
      <c r="M610" s="16">
        <f t="shared" si="40"/>
        <v>3.2123827152674533E-2</v>
      </c>
    </row>
    <row r="611" spans="1:13" x14ac:dyDescent="0.3">
      <c r="A611" t="s">
        <v>618</v>
      </c>
      <c r="B611" s="1">
        <v>1.0009942098423099</v>
      </c>
      <c r="C611" s="1">
        <v>1.00100000272297</v>
      </c>
      <c r="D611" s="1">
        <v>1.00099128085345</v>
      </c>
      <c r="E611" s="1">
        <v>1.00403186617647</v>
      </c>
      <c r="F611" s="1">
        <v>1.00403186617647</v>
      </c>
      <c r="G611" s="1">
        <v>1.00403186617647</v>
      </c>
      <c r="H611">
        <v>272</v>
      </c>
      <c r="I611">
        <v>272</v>
      </c>
      <c r="J611" s="16">
        <f t="shared" si="37"/>
        <v>3.0254580920105831E-3</v>
      </c>
      <c r="K611" s="16">
        <f t="shared" si="38"/>
        <v>3.0196884736795339E-3</v>
      </c>
      <c r="L611" s="16">
        <f t="shared" si="39"/>
        <v>3.0283753190016448E-3</v>
      </c>
      <c r="M611" s="16">
        <f t="shared" si="40"/>
        <v>3.0254580920105831E-3</v>
      </c>
    </row>
    <row r="612" spans="1:13" x14ac:dyDescent="0.3">
      <c r="A612" t="s">
        <v>619</v>
      </c>
      <c r="B612" s="1">
        <v>0.99827891484760201</v>
      </c>
      <c r="C612" s="1">
        <v>0.99092003934962902</v>
      </c>
      <c r="D612" s="1">
        <v>0.98509873042100804</v>
      </c>
      <c r="E612" s="1">
        <v>1.00377160814814</v>
      </c>
      <c r="F612" s="1">
        <v>1.00377160814814</v>
      </c>
      <c r="G612" s="1">
        <v>1.00377160814814</v>
      </c>
      <c r="H612">
        <v>689</v>
      </c>
      <c r="I612">
        <v>675</v>
      </c>
      <c r="J612" s="16">
        <f t="shared" si="37"/>
        <v>5.4720548538641283E-3</v>
      </c>
      <c r="K612" s="16">
        <f t="shared" si="38"/>
        <v>1.2803279843928737E-2</v>
      </c>
      <c r="L612" s="16">
        <f t="shared" si="39"/>
        <v>1.8602715573497464E-2</v>
      </c>
      <c r="M612" s="16">
        <f t="shared" si="40"/>
        <v>1.2803279843928737E-2</v>
      </c>
    </row>
    <row r="613" spans="1:13" x14ac:dyDescent="0.3">
      <c r="A613" t="s">
        <v>620</v>
      </c>
      <c r="B613" s="1">
        <v>0.99908029639741602</v>
      </c>
      <c r="C613" s="1">
        <v>0.99906716539477602</v>
      </c>
      <c r="D613" s="1">
        <v>0.99496641046671397</v>
      </c>
      <c r="E613" s="1">
        <v>1.00339876322314</v>
      </c>
      <c r="F613" s="1">
        <v>1.00339876322314</v>
      </c>
      <c r="G613" s="1">
        <v>1.00339876322314</v>
      </c>
      <c r="H613">
        <v>243</v>
      </c>
      <c r="I613">
        <v>242</v>
      </c>
      <c r="J613" s="16">
        <f t="shared" si="37"/>
        <v>4.3038390956872761E-3</v>
      </c>
      <c r="K613" s="16">
        <f t="shared" si="38"/>
        <v>4.3169256203286054E-3</v>
      </c>
      <c r="L613" s="16">
        <f t="shared" si="39"/>
        <v>8.4037902631447069E-3</v>
      </c>
      <c r="M613" s="16">
        <f t="shared" si="40"/>
        <v>4.3169256203286054E-3</v>
      </c>
    </row>
    <row r="614" spans="1:13" x14ac:dyDescent="0.3">
      <c r="A614" t="s">
        <v>621</v>
      </c>
      <c r="B614" s="1">
        <v>1.2674114619741501</v>
      </c>
      <c r="C614" s="1">
        <v>1.02635355201533</v>
      </c>
      <c r="D614" s="1">
        <v>4.6087018004972302</v>
      </c>
      <c r="E614" s="1">
        <v>1.0048386876459099</v>
      </c>
      <c r="F614" s="1">
        <v>1.0048386876459099</v>
      </c>
      <c r="G614" s="1">
        <v>1.0048386876459099</v>
      </c>
      <c r="H614">
        <v>1413</v>
      </c>
      <c r="I614">
        <v>1028</v>
      </c>
      <c r="J614" s="16">
        <f t="shared" si="37"/>
        <v>-0.26130838467553802</v>
      </c>
      <c r="K614" s="16">
        <f t="shared" si="38"/>
        <v>-2.1411261960687555E-2</v>
      </c>
      <c r="L614" s="16">
        <f t="shared" si="39"/>
        <v>-3.5865091155021966</v>
      </c>
      <c r="M614" s="16">
        <f t="shared" si="40"/>
        <v>0.26130838467553802</v>
      </c>
    </row>
    <row r="615" spans="1:13" x14ac:dyDescent="0.3">
      <c r="A615" t="s">
        <v>622</v>
      </c>
      <c r="B615" s="1">
        <v>0.99166011328252202</v>
      </c>
      <c r="C615" s="1">
        <v>0.94391287755349096</v>
      </c>
      <c r="D615" s="1">
        <v>0.93990444737494905</v>
      </c>
      <c r="E615" s="1">
        <v>1.00386397937219</v>
      </c>
      <c r="F615" s="1">
        <v>1.00386397937219</v>
      </c>
      <c r="G615" s="1">
        <v>1.00386397937219</v>
      </c>
      <c r="H615">
        <v>251</v>
      </c>
      <c r="I615">
        <v>223</v>
      </c>
      <c r="J615" s="16">
        <f t="shared" si="37"/>
        <v>1.2156892109327567E-2</v>
      </c>
      <c r="K615" s="16">
        <f t="shared" si="38"/>
        <v>5.9720343642763268E-2</v>
      </c>
      <c r="L615" s="16">
        <f t="shared" si="39"/>
        <v>6.3713344946633901E-2</v>
      </c>
      <c r="M615" s="16">
        <f t="shared" si="40"/>
        <v>5.9720343642763268E-2</v>
      </c>
    </row>
    <row r="616" spans="1:13" x14ac:dyDescent="0.3">
      <c r="A616" t="s">
        <v>623</v>
      </c>
      <c r="B616" s="1">
        <v>0.99904286499656603</v>
      </c>
      <c r="C616" s="1">
        <v>0.90092777517508105</v>
      </c>
      <c r="D616" s="1">
        <v>0.91323729165261103</v>
      </c>
      <c r="E616" s="1">
        <v>1.00482488333333</v>
      </c>
      <c r="F616" s="1">
        <v>1.00482488333333</v>
      </c>
      <c r="G616" s="1">
        <v>1.00482488333333</v>
      </c>
      <c r="H616">
        <v>511</v>
      </c>
      <c r="I616">
        <v>414</v>
      </c>
      <c r="J616" s="16">
        <f t="shared" si="37"/>
        <v>5.7542547290261366E-3</v>
      </c>
      <c r="K616" s="16">
        <f t="shared" si="38"/>
        <v>0.10339822379158101</v>
      </c>
      <c r="L616" s="16">
        <f t="shared" si="39"/>
        <v>9.1147814111542713E-2</v>
      </c>
      <c r="M616" s="16">
        <f t="shared" si="40"/>
        <v>9.1147814111542713E-2</v>
      </c>
    </row>
    <row r="617" spans="1:13" x14ac:dyDescent="0.3">
      <c r="A617" t="s">
        <v>624</v>
      </c>
      <c r="B617" s="1">
        <v>0.96747991044898696</v>
      </c>
      <c r="C617" s="1">
        <v>6.380590433679</v>
      </c>
      <c r="D617" s="1">
        <v>1.1729901602944299</v>
      </c>
      <c r="E617" s="1">
        <v>0.97581610576922995</v>
      </c>
      <c r="F617" s="1">
        <v>0.97581610576922995</v>
      </c>
      <c r="G617" s="1">
        <v>0.97581610576922995</v>
      </c>
      <c r="H617">
        <v>587</v>
      </c>
      <c r="I617">
        <v>520</v>
      </c>
      <c r="J617" s="16">
        <f t="shared" si="37"/>
        <v>8.5427933305851893E-3</v>
      </c>
      <c r="K617" s="16">
        <f t="shared" si="38"/>
        <v>-5.538722199762443</v>
      </c>
      <c r="L617" s="16">
        <f t="shared" si="39"/>
        <v>-0.202060668356943</v>
      </c>
      <c r="M617" s="16">
        <f t="shared" si="40"/>
        <v>0.202060668356943</v>
      </c>
    </row>
    <row r="618" spans="1:13" x14ac:dyDescent="0.3">
      <c r="A618" t="s">
        <v>625</v>
      </c>
      <c r="B618" s="1">
        <v>0.99875951804585905</v>
      </c>
      <c r="C618" s="1">
        <v>0.99874324208338205</v>
      </c>
      <c r="D618" s="1">
        <v>0.99875180140949804</v>
      </c>
      <c r="E618" s="1">
        <v>1.0052128341726601</v>
      </c>
      <c r="F618" s="1">
        <v>1.0052128341726601</v>
      </c>
      <c r="G618" s="1">
        <v>1.0052128341726601</v>
      </c>
      <c r="H618">
        <v>556</v>
      </c>
      <c r="I618">
        <v>556</v>
      </c>
      <c r="J618" s="16">
        <f t="shared" si="37"/>
        <v>6.4198505106755821E-3</v>
      </c>
      <c r="K618" s="16">
        <f t="shared" si="38"/>
        <v>6.4360420692427716E-3</v>
      </c>
      <c r="L618" s="16">
        <f t="shared" si="39"/>
        <v>6.4275271300925649E-3</v>
      </c>
      <c r="M618" s="16">
        <f t="shared" si="40"/>
        <v>6.4275271300925649E-3</v>
      </c>
    </row>
    <row r="619" spans="1:13" x14ac:dyDescent="0.3">
      <c r="A619" t="s">
        <v>626</v>
      </c>
      <c r="B619" s="1">
        <v>0.91969114491461701</v>
      </c>
      <c r="C619" s="1">
        <v>1.00038031557665</v>
      </c>
      <c r="D619" s="1">
        <v>0.97832668699410796</v>
      </c>
      <c r="E619" s="1">
        <v>1.00416212888283</v>
      </c>
      <c r="F619" s="1">
        <v>1.00416212888283</v>
      </c>
      <c r="G619" s="1">
        <v>1.00416212888283</v>
      </c>
      <c r="H619">
        <v>409</v>
      </c>
      <c r="I619">
        <v>367</v>
      </c>
      <c r="J619" s="16">
        <f t="shared" si="37"/>
        <v>8.4120862098424551E-2</v>
      </c>
      <c r="K619" s="16">
        <f t="shared" si="38"/>
        <v>3.7661381537933618E-3</v>
      </c>
      <c r="L619" s="16">
        <f t="shared" si="39"/>
        <v>2.5728357150318893E-2</v>
      </c>
      <c r="M619" s="16">
        <f t="shared" si="40"/>
        <v>2.5728357150318893E-2</v>
      </c>
    </row>
    <row r="620" spans="1:13" x14ac:dyDescent="0.3">
      <c r="A620" t="s">
        <v>627</v>
      </c>
      <c r="B620" s="1">
        <v>0.98025358637140003</v>
      </c>
      <c r="C620" s="1">
        <v>0.98321309785548305</v>
      </c>
      <c r="D620" s="1">
        <v>0.98515383876317697</v>
      </c>
      <c r="E620" s="1">
        <v>0.79502524630541804</v>
      </c>
      <c r="F620" s="1">
        <v>0.79502524630541804</v>
      </c>
      <c r="G620" s="1">
        <v>0.79502524630541804</v>
      </c>
      <c r="H620">
        <v>1031</v>
      </c>
      <c r="I620">
        <v>1015</v>
      </c>
      <c r="J620" s="16">
        <f t="shared" si="37"/>
        <v>-0.23298422399384333</v>
      </c>
      <c r="K620" s="16">
        <f t="shared" si="38"/>
        <v>-0.23670676173441982</v>
      </c>
      <c r="L620" s="16">
        <f t="shared" si="39"/>
        <v>-0.23914786774547139</v>
      </c>
      <c r="M620" s="16">
        <f t="shared" si="40"/>
        <v>0.23670676173441982</v>
      </c>
    </row>
    <row r="621" spans="1:13" x14ac:dyDescent="0.3">
      <c r="A621" t="s">
        <v>628</v>
      </c>
      <c r="B621" s="1">
        <v>0.95752190609064103</v>
      </c>
      <c r="C621" s="1">
        <v>0.95594277139324701</v>
      </c>
      <c r="D621" s="1">
        <v>0.96112130698821496</v>
      </c>
      <c r="E621" s="1">
        <v>1.0084344131188101</v>
      </c>
      <c r="F621" s="1">
        <v>1.0084344131188101</v>
      </c>
      <c r="G621" s="1">
        <v>1.0084344131188101</v>
      </c>
      <c r="H621">
        <v>1673</v>
      </c>
      <c r="I621">
        <v>1616</v>
      </c>
      <c r="J621" s="16">
        <f t="shared" si="37"/>
        <v>5.04866814994053E-2</v>
      </c>
      <c r="K621" s="16">
        <f t="shared" si="38"/>
        <v>5.2052608521382056E-2</v>
      </c>
      <c r="L621" s="16">
        <f t="shared" si="39"/>
        <v>4.691738551867615E-2</v>
      </c>
      <c r="M621" s="16">
        <f t="shared" si="40"/>
        <v>5.04866814994053E-2</v>
      </c>
    </row>
    <row r="622" spans="1:13" x14ac:dyDescent="0.3">
      <c r="A622" t="s">
        <v>629</v>
      </c>
      <c r="B622" s="1">
        <v>0.98507086219233397</v>
      </c>
      <c r="C622" s="1">
        <v>0.99549744983569899</v>
      </c>
      <c r="D622" s="1">
        <v>0.99635324320414898</v>
      </c>
      <c r="E622" s="1">
        <v>0.66789018646616505</v>
      </c>
      <c r="F622" s="1">
        <v>0.66789018646616505</v>
      </c>
      <c r="G622" s="1">
        <v>0.66789018646616505</v>
      </c>
      <c r="H622">
        <v>137</v>
      </c>
      <c r="I622">
        <v>133</v>
      </c>
      <c r="J622" s="16">
        <f t="shared" si="37"/>
        <v>-0.47489944028731007</v>
      </c>
      <c r="K622" s="16">
        <f t="shared" si="38"/>
        <v>-0.49051067077795779</v>
      </c>
      <c r="L622" s="16">
        <f t="shared" si="39"/>
        <v>-0.49179200921620919</v>
      </c>
      <c r="M622" s="16">
        <f t="shared" si="40"/>
        <v>0.49051067077795779</v>
      </c>
    </row>
    <row r="623" spans="1:13" x14ac:dyDescent="0.3">
      <c r="A623" t="s">
        <v>630</v>
      </c>
      <c r="B623" s="1">
        <v>0.98372156521919096</v>
      </c>
      <c r="C623" s="1">
        <v>0.97027610032838396</v>
      </c>
      <c r="D623" s="1">
        <v>0.94815848513643897</v>
      </c>
      <c r="E623" s="1">
        <v>1.0027239998120301</v>
      </c>
      <c r="F623" s="1">
        <v>1.0027239998120301</v>
      </c>
      <c r="G623" s="1">
        <v>1.0027239998120301</v>
      </c>
      <c r="H623">
        <v>594</v>
      </c>
      <c r="I623">
        <v>532</v>
      </c>
      <c r="J623" s="16">
        <f t="shared" si="37"/>
        <v>1.8950812582925417E-2</v>
      </c>
      <c r="K623" s="16">
        <f t="shared" si="38"/>
        <v>3.2359751526570404E-2</v>
      </c>
      <c r="L623" s="16">
        <f t="shared" si="39"/>
        <v>5.4417282009625714E-2</v>
      </c>
      <c r="M623" s="16">
        <f t="shared" si="40"/>
        <v>3.2359751526570404E-2</v>
      </c>
    </row>
    <row r="624" spans="1:13" x14ac:dyDescent="0.3">
      <c r="A624" t="s">
        <v>631</v>
      </c>
      <c r="B624" s="1">
        <v>1.06791693700068</v>
      </c>
      <c r="C624" s="1">
        <v>1.0913829825069301</v>
      </c>
      <c r="D624" s="1">
        <v>1.0951894503495001</v>
      </c>
      <c r="E624" s="1">
        <v>1.03903070451388</v>
      </c>
      <c r="F624" s="1">
        <v>1.03903070451388</v>
      </c>
      <c r="G624" s="1">
        <v>1.03903070451388</v>
      </c>
      <c r="H624">
        <v>295</v>
      </c>
      <c r="I624">
        <v>288</v>
      </c>
      <c r="J624" s="16">
        <f t="shared" si="37"/>
        <v>-2.7801134616435314E-2</v>
      </c>
      <c r="K624" s="16">
        <f t="shared" si="38"/>
        <v>-5.0385689051935745E-2</v>
      </c>
      <c r="L624" s="16">
        <f t="shared" si="39"/>
        <v>-5.4049168702761739E-2</v>
      </c>
      <c r="M624" s="16">
        <f t="shared" si="40"/>
        <v>5.0385689051935745E-2</v>
      </c>
    </row>
    <row r="625" spans="1:13" x14ac:dyDescent="0.3">
      <c r="A625" t="s">
        <v>632</v>
      </c>
      <c r="B625" s="1">
        <v>0.99052561947384399</v>
      </c>
      <c r="C625" s="1">
        <v>1.0748638136086299</v>
      </c>
      <c r="D625" s="1">
        <v>1.0541601843017001</v>
      </c>
      <c r="E625" s="1">
        <v>0.88693427620632204</v>
      </c>
      <c r="F625" s="1">
        <v>0.88693427620632204</v>
      </c>
      <c r="G625" s="1">
        <v>0.88693427620632204</v>
      </c>
      <c r="H625">
        <v>1230</v>
      </c>
      <c r="I625">
        <v>1202</v>
      </c>
      <c r="J625" s="16">
        <f t="shared" si="37"/>
        <v>-0.11679709088548534</v>
      </c>
      <c r="K625" s="16">
        <f t="shared" si="38"/>
        <v>-0.21188665546463897</v>
      </c>
      <c r="L625" s="16">
        <f t="shared" si="39"/>
        <v>-0.18854374284716147</v>
      </c>
      <c r="M625" s="16">
        <f t="shared" si="40"/>
        <v>0.18854374284716147</v>
      </c>
    </row>
    <row r="626" spans="1:13" x14ac:dyDescent="0.3">
      <c r="A626" t="s">
        <v>633</v>
      </c>
      <c r="B626" s="1">
        <v>0.98564841435240802</v>
      </c>
      <c r="C626" s="1">
        <v>0.99096981871138601</v>
      </c>
      <c r="D626" s="1">
        <v>0.990969818715978</v>
      </c>
      <c r="E626" s="1">
        <v>1.0260054202429101</v>
      </c>
      <c r="F626" s="1">
        <v>1.0260054202429101</v>
      </c>
      <c r="G626" s="1">
        <v>1.0260054202429101</v>
      </c>
      <c r="H626">
        <v>745</v>
      </c>
      <c r="I626">
        <v>741</v>
      </c>
      <c r="J626" s="16">
        <f t="shared" si="37"/>
        <v>3.9334105935763392E-2</v>
      </c>
      <c r="K626" s="16">
        <f t="shared" si="38"/>
        <v>3.4147579379482498E-2</v>
      </c>
      <c r="L626" s="16">
        <f t="shared" si="39"/>
        <v>3.4147579375006898E-2</v>
      </c>
      <c r="M626" s="16">
        <f t="shared" si="40"/>
        <v>3.4147579379482498E-2</v>
      </c>
    </row>
    <row r="627" spans="1:13" x14ac:dyDescent="0.3">
      <c r="A627" t="s">
        <v>634</v>
      </c>
      <c r="B627" s="1">
        <v>0.970173261846628</v>
      </c>
      <c r="C627" s="1">
        <v>0.94165969463375399</v>
      </c>
      <c r="D627" s="1">
        <v>0.95602008879550304</v>
      </c>
      <c r="E627" s="1">
        <v>1.0050889447795801</v>
      </c>
      <c r="F627" s="1">
        <v>1.0050889447795801</v>
      </c>
      <c r="G627" s="1">
        <v>1.0050889447795801</v>
      </c>
      <c r="H627">
        <v>491</v>
      </c>
      <c r="I627">
        <v>431</v>
      </c>
      <c r="J627" s="16">
        <f t="shared" si="37"/>
        <v>3.4738898596292145E-2</v>
      </c>
      <c r="K627" s="16">
        <f t="shared" si="38"/>
        <v>6.31080965274535E-2</v>
      </c>
      <c r="L627" s="16">
        <f t="shared" si="39"/>
        <v>4.8820411605301317E-2</v>
      </c>
      <c r="M627" s="16">
        <f t="shared" si="40"/>
        <v>4.8820411605301317E-2</v>
      </c>
    </row>
    <row r="628" spans="1:13" x14ac:dyDescent="0.3">
      <c r="A628" t="s">
        <v>635</v>
      </c>
      <c r="B628" s="1">
        <v>0.99853017164253599</v>
      </c>
      <c r="C628" s="1">
        <v>0.99853017193538596</v>
      </c>
      <c r="D628" s="1">
        <v>0.99853017162932001</v>
      </c>
      <c r="E628" s="1">
        <v>0.96882472826086896</v>
      </c>
      <c r="F628" s="1">
        <v>0.96882472826086896</v>
      </c>
      <c r="G628" s="1">
        <v>0.96882472826086896</v>
      </c>
      <c r="H628">
        <v>276</v>
      </c>
      <c r="I628">
        <v>276</v>
      </c>
      <c r="J628" s="16">
        <f t="shared" si="37"/>
        <v>-3.0661318311921166E-2</v>
      </c>
      <c r="K628" s="16">
        <f t="shared" si="38"/>
        <v>-3.0661318614194587E-2</v>
      </c>
      <c r="L628" s="16">
        <f t="shared" si="39"/>
        <v>-3.0661318298279911E-2</v>
      </c>
      <c r="M628" s="16">
        <f t="shared" si="40"/>
        <v>3.0661318311921166E-2</v>
      </c>
    </row>
    <row r="629" spans="1:13" x14ac:dyDescent="0.3">
      <c r="A629" t="s">
        <v>636</v>
      </c>
      <c r="B629" s="1">
        <v>1.03770314271872</v>
      </c>
      <c r="C629" s="1">
        <v>1.0214697587665</v>
      </c>
      <c r="D629" s="1">
        <v>1.0328398716027001</v>
      </c>
      <c r="E629" s="1">
        <v>1.00202219375</v>
      </c>
      <c r="F629" s="1">
        <v>1.00202219375</v>
      </c>
      <c r="G629" s="1">
        <v>1.00202219375</v>
      </c>
      <c r="H629">
        <v>380</v>
      </c>
      <c r="I629">
        <v>368</v>
      </c>
      <c r="J629" s="16">
        <f t="shared" si="37"/>
        <v>-3.5608940791207883E-2</v>
      </c>
      <c r="K629" s="16">
        <f t="shared" si="38"/>
        <v>-1.9408317637874699E-2</v>
      </c>
      <c r="L629" s="16">
        <f t="shared" si="39"/>
        <v>-3.0755484304561157E-2</v>
      </c>
      <c r="M629" s="16">
        <f t="shared" si="40"/>
        <v>3.0755484304561157E-2</v>
      </c>
    </row>
    <row r="630" spans="1:13" x14ac:dyDescent="0.3">
      <c r="A630" t="s">
        <v>637</v>
      </c>
      <c r="B630" s="1">
        <v>0.90746958408753597</v>
      </c>
      <c r="C630" s="1">
        <v>0.93063312657434805</v>
      </c>
      <c r="D630" s="1">
        <v>0.89252001089431798</v>
      </c>
      <c r="E630" s="1">
        <v>1.0215744499356401</v>
      </c>
      <c r="F630" s="1">
        <v>1.0215744499356401</v>
      </c>
      <c r="G630" s="1">
        <v>1.0215744499356401</v>
      </c>
      <c r="H630">
        <v>1075</v>
      </c>
      <c r="I630">
        <v>777</v>
      </c>
      <c r="J630" s="16">
        <f t="shared" si="37"/>
        <v>0.11169510538883659</v>
      </c>
      <c r="K630" s="16">
        <f t="shared" si="38"/>
        <v>8.902074965463494E-2</v>
      </c>
      <c r="L630" s="16">
        <f t="shared" si="39"/>
        <v>0.12632896119264983</v>
      </c>
      <c r="M630" s="16">
        <f t="shared" si="40"/>
        <v>0.11169510538883659</v>
      </c>
    </row>
    <row r="631" spans="1:13" x14ac:dyDescent="0.3">
      <c r="A631" t="s">
        <v>638</v>
      </c>
      <c r="B631" s="1">
        <v>2.6789658335987498</v>
      </c>
      <c r="C631" s="1">
        <v>1.1823489797056199</v>
      </c>
      <c r="D631" s="1">
        <v>1.0518708172</v>
      </c>
      <c r="E631" s="1">
        <v>1.00525999070247</v>
      </c>
      <c r="F631" s="1">
        <v>1.00525999070247</v>
      </c>
      <c r="G631" s="1">
        <v>1.00525999070247</v>
      </c>
      <c r="H631">
        <v>1063</v>
      </c>
      <c r="I631">
        <v>968</v>
      </c>
      <c r="J631" s="16">
        <f t="shared" si="37"/>
        <v>-1.6649482306827945</v>
      </c>
      <c r="K631" s="16">
        <f t="shared" si="38"/>
        <v>-0.17616237654042233</v>
      </c>
      <c r="L631" s="16">
        <f t="shared" si="39"/>
        <v>-4.6366936840845155E-2</v>
      </c>
      <c r="M631" s="16">
        <f t="shared" si="40"/>
        <v>0.17616237654042233</v>
      </c>
    </row>
    <row r="632" spans="1:13" x14ac:dyDescent="0.3">
      <c r="A632" t="s">
        <v>639</v>
      </c>
      <c r="B632" s="1">
        <v>0.99033794164766398</v>
      </c>
      <c r="C632" s="1">
        <v>0.94423217048799801</v>
      </c>
      <c r="D632" s="1">
        <v>0.99030622985874495</v>
      </c>
      <c r="E632" s="1">
        <v>1.0052675388286301</v>
      </c>
      <c r="F632" s="1">
        <v>1.0052675388286301</v>
      </c>
      <c r="G632" s="1">
        <v>1.0052675388286301</v>
      </c>
      <c r="H632">
        <v>484</v>
      </c>
      <c r="I632">
        <v>461</v>
      </c>
      <c r="J632" s="16">
        <f t="shared" si="37"/>
        <v>1.4851367028485309E-2</v>
      </c>
      <c r="K632" s="16">
        <f t="shared" si="38"/>
        <v>6.0715546840150056E-2</v>
      </c>
      <c r="L632" s="16">
        <f t="shared" si="39"/>
        <v>1.4882912649620139E-2</v>
      </c>
      <c r="M632" s="16">
        <f t="shared" si="40"/>
        <v>1.4882912649620139E-2</v>
      </c>
    </row>
    <row r="633" spans="1:13" x14ac:dyDescent="0.3">
      <c r="A633" t="s">
        <v>640</v>
      </c>
      <c r="B633" s="1">
        <v>1.00113117688661</v>
      </c>
      <c r="C633" s="1">
        <v>1.0011672682568</v>
      </c>
      <c r="D633" s="1">
        <v>1.00110193650779</v>
      </c>
      <c r="E633" s="1">
        <v>1.00155233871951</v>
      </c>
      <c r="F633" s="1">
        <v>1.00155233871951</v>
      </c>
      <c r="G633" s="1">
        <v>1.00155233871951</v>
      </c>
      <c r="H633">
        <v>328</v>
      </c>
      <c r="I633">
        <v>328</v>
      </c>
      <c r="J633" s="16">
        <f t="shared" si="37"/>
        <v>4.2050906040360514E-4</v>
      </c>
      <c r="K633" s="16">
        <f t="shared" si="38"/>
        <v>3.8447362940840758E-4</v>
      </c>
      <c r="L633" s="16">
        <f t="shared" si="39"/>
        <v>4.4970411860435864E-4</v>
      </c>
      <c r="M633" s="16">
        <f t="shared" si="40"/>
        <v>4.2050906040360514E-4</v>
      </c>
    </row>
    <row r="634" spans="1:13" x14ac:dyDescent="0.3">
      <c r="A634" t="s">
        <v>641</v>
      </c>
      <c r="B634" s="1">
        <v>1.0493481693467701</v>
      </c>
      <c r="C634" s="1">
        <v>1.0104614447090701</v>
      </c>
      <c r="D634" s="1">
        <v>1.0100128447355601</v>
      </c>
      <c r="E634" s="1">
        <v>1.00650672596774</v>
      </c>
      <c r="F634" s="1">
        <v>1.00650672596774</v>
      </c>
      <c r="G634" s="1">
        <v>1.00650672596774</v>
      </c>
      <c r="H634">
        <v>630</v>
      </c>
      <c r="I634">
        <v>620</v>
      </c>
      <c r="J634" s="16">
        <f t="shared" si="37"/>
        <v>-4.2564487920176294E-2</v>
      </c>
      <c r="K634" s="16">
        <f t="shared" si="38"/>
        <v>-3.9291528206407394E-3</v>
      </c>
      <c r="L634" s="16">
        <f t="shared" si="39"/>
        <v>-3.4834528944145461E-3</v>
      </c>
      <c r="M634" s="16">
        <f t="shared" si="40"/>
        <v>3.9291528206407394E-3</v>
      </c>
    </row>
    <row r="635" spans="1:13" x14ac:dyDescent="0.3">
      <c r="A635" t="s">
        <v>642</v>
      </c>
      <c r="B635" s="1">
        <v>0.94426126939539301</v>
      </c>
      <c r="C635" s="1">
        <v>0.96827032643882704</v>
      </c>
      <c r="D635" s="1">
        <v>0.94502785636814501</v>
      </c>
      <c r="E635" s="1">
        <v>1.0052879526315699</v>
      </c>
      <c r="F635" s="1">
        <v>1.0052879526315699</v>
      </c>
      <c r="G635" s="1">
        <v>1.0052879526315699</v>
      </c>
      <c r="H635">
        <v>1005</v>
      </c>
      <c r="I635">
        <v>874</v>
      </c>
      <c r="J635" s="16">
        <f t="shared" si="37"/>
        <v>6.0705674504927323E-2</v>
      </c>
      <c r="K635" s="16">
        <f t="shared" si="38"/>
        <v>3.6822908397380859E-2</v>
      </c>
      <c r="L635" s="16">
        <f t="shared" si="39"/>
        <v>5.9943119884885092E-2</v>
      </c>
      <c r="M635" s="16">
        <f t="shared" si="40"/>
        <v>5.9943119884885092E-2</v>
      </c>
    </row>
    <row r="636" spans="1:13" x14ac:dyDescent="0.3">
      <c r="A636" t="s">
        <v>643</v>
      </c>
      <c r="B636" s="1">
        <v>1.0302561945044999</v>
      </c>
      <c r="C636" s="1">
        <v>1.0273838018067301</v>
      </c>
      <c r="D636" s="1">
        <v>1.03013223092948</v>
      </c>
      <c r="E636" s="1">
        <v>0.96791932397959102</v>
      </c>
      <c r="F636" s="1">
        <v>0.96791932397959102</v>
      </c>
      <c r="G636" s="1">
        <v>0.96791932397959102</v>
      </c>
      <c r="H636">
        <v>393</v>
      </c>
      <c r="I636">
        <v>392</v>
      </c>
      <c r="J636" s="16">
        <f t="shared" si="37"/>
        <v>-6.4402961053211999E-2</v>
      </c>
      <c r="K636" s="16">
        <f t="shared" si="38"/>
        <v>-6.1435365896665241E-2</v>
      </c>
      <c r="L636" s="16">
        <f t="shared" si="39"/>
        <v>-6.4274888834847554E-2</v>
      </c>
      <c r="M636" s="16">
        <f t="shared" si="40"/>
        <v>6.4274888834847554E-2</v>
      </c>
    </row>
    <row r="637" spans="1:13" x14ac:dyDescent="0.3">
      <c r="A637" t="s">
        <v>644</v>
      </c>
      <c r="B637" s="1">
        <v>0.99605586946090097</v>
      </c>
      <c r="C637" s="1">
        <v>1.3570649579515399</v>
      </c>
      <c r="D637" s="1">
        <v>1.0051710064645301</v>
      </c>
      <c r="E637" s="1">
        <v>1.0015006398467401</v>
      </c>
      <c r="F637" s="1">
        <v>1.0015006398467401</v>
      </c>
      <c r="G637" s="1">
        <v>1.0015006398467401</v>
      </c>
      <c r="H637">
        <v>556</v>
      </c>
      <c r="I637">
        <v>522</v>
      </c>
      <c r="J637" s="16">
        <f t="shared" si="37"/>
        <v>5.4366119892567824E-3</v>
      </c>
      <c r="K637" s="16">
        <f t="shared" si="38"/>
        <v>-0.35503154362358863</v>
      </c>
      <c r="L637" s="16">
        <f t="shared" si="39"/>
        <v>-3.6648669723782137E-3</v>
      </c>
      <c r="M637" s="16">
        <f t="shared" si="40"/>
        <v>3.6648669723782137E-3</v>
      </c>
    </row>
    <row r="638" spans="1:13" x14ac:dyDescent="0.3">
      <c r="A638" t="s">
        <v>645</v>
      </c>
      <c r="B638" s="1">
        <v>0.97088621783465801</v>
      </c>
      <c r="C638" s="1">
        <v>0.97758542557125205</v>
      </c>
      <c r="D638" s="1">
        <v>0.97758327317676197</v>
      </c>
      <c r="E638" s="1">
        <v>1.00601141794569</v>
      </c>
      <c r="F638" s="1">
        <v>1.00601141794569</v>
      </c>
      <c r="G638" s="1">
        <v>1.00601141794569</v>
      </c>
      <c r="H638">
        <v>898</v>
      </c>
      <c r="I638">
        <v>847</v>
      </c>
      <c r="J638" s="16">
        <f t="shared" si="37"/>
        <v>3.4915309592369145E-2</v>
      </c>
      <c r="K638" s="16">
        <f t="shared" si="38"/>
        <v>2.8256132949748072E-2</v>
      </c>
      <c r="L638" s="16">
        <f t="shared" si="39"/>
        <v>2.8258272482611903E-2</v>
      </c>
      <c r="M638" s="16">
        <f t="shared" si="40"/>
        <v>2.8258272482611903E-2</v>
      </c>
    </row>
    <row r="639" spans="1:13" x14ac:dyDescent="0.3">
      <c r="A639" t="s">
        <v>646</v>
      </c>
      <c r="B639" s="1">
        <v>0.99297825755025404</v>
      </c>
      <c r="C639" s="1">
        <v>0.99297574689460599</v>
      </c>
      <c r="D639" s="1">
        <v>0.99298658426559905</v>
      </c>
      <c r="E639" s="1">
        <v>0.97215754792332199</v>
      </c>
      <c r="F639" s="1">
        <v>0.97215754792332199</v>
      </c>
      <c r="G639" s="1">
        <v>0.97215754792332199</v>
      </c>
      <c r="H639">
        <v>626</v>
      </c>
      <c r="I639">
        <v>626</v>
      </c>
      <c r="J639" s="16">
        <f t="shared" si="37"/>
        <v>-2.1417011750213009E-2</v>
      </c>
      <c r="K639" s="16">
        <f t="shared" si="38"/>
        <v>-2.141442918974901E-2</v>
      </c>
      <c r="L639" s="16">
        <f t="shared" si="39"/>
        <v>-2.1425576941485551E-2</v>
      </c>
      <c r="M639" s="16">
        <f t="shared" si="40"/>
        <v>2.1417011750213009E-2</v>
      </c>
    </row>
    <row r="640" spans="1:13" x14ac:dyDescent="0.3">
      <c r="A640" t="s">
        <v>647</v>
      </c>
      <c r="B640" s="1">
        <v>0.99875656880797903</v>
      </c>
      <c r="C640" s="1">
        <v>0.99873457307511304</v>
      </c>
      <c r="D640" s="1">
        <v>0.99875879101918696</v>
      </c>
      <c r="E640" s="1">
        <v>1.00476585951327</v>
      </c>
      <c r="F640" s="1">
        <v>1.00476585951327</v>
      </c>
      <c r="G640" s="1">
        <v>1.00476585951327</v>
      </c>
      <c r="H640">
        <v>452</v>
      </c>
      <c r="I640">
        <v>452</v>
      </c>
      <c r="J640" s="16">
        <f t="shared" si="37"/>
        <v>5.9807871141262913E-3</v>
      </c>
      <c r="K640" s="16">
        <f t="shared" si="38"/>
        <v>6.0026785156480772E-3</v>
      </c>
      <c r="L640" s="16">
        <f t="shared" si="39"/>
        <v>5.9785754434301822E-3</v>
      </c>
      <c r="M640" s="16">
        <f t="shared" si="40"/>
        <v>5.9807871141262913E-3</v>
      </c>
    </row>
    <row r="641" spans="1:13" x14ac:dyDescent="0.3">
      <c r="A641" t="s">
        <v>648</v>
      </c>
      <c r="B641" s="1">
        <v>1.0973315026409101</v>
      </c>
      <c r="C641" s="1">
        <v>1.0440739765721001</v>
      </c>
      <c r="D641" s="1">
        <v>0.99981110371845705</v>
      </c>
      <c r="E641" s="1">
        <v>1.0078481828990999</v>
      </c>
      <c r="F641" s="1">
        <v>1.0078481828990999</v>
      </c>
      <c r="G641" s="1">
        <v>1.0078481828990999</v>
      </c>
      <c r="H641">
        <v>2175</v>
      </c>
      <c r="I641">
        <v>2111</v>
      </c>
      <c r="J641" s="16">
        <f t="shared" si="37"/>
        <v>-8.8786506995933809E-2</v>
      </c>
      <c r="K641" s="16">
        <f t="shared" si="38"/>
        <v>-3.5943700933999581E-2</v>
      </c>
      <c r="L641" s="16">
        <f t="shared" si="39"/>
        <v>7.9744938940347516E-3</v>
      </c>
      <c r="M641" s="16">
        <f t="shared" si="40"/>
        <v>3.5943700933999581E-2</v>
      </c>
    </row>
    <row r="642" spans="1:13" x14ac:dyDescent="0.3">
      <c r="A642" t="s">
        <v>649</v>
      </c>
      <c r="B642" s="1">
        <v>0.98833270086587999</v>
      </c>
      <c r="C642" s="1">
        <v>0.97187912454520098</v>
      </c>
      <c r="D642" s="1">
        <v>0.98722134754391599</v>
      </c>
      <c r="E642" s="1">
        <v>1.0065277833333299</v>
      </c>
      <c r="F642" s="1">
        <v>1.0065277833333299</v>
      </c>
      <c r="G642" s="1">
        <v>1.0065277833333299</v>
      </c>
      <c r="H642">
        <v>895</v>
      </c>
      <c r="I642">
        <v>876</v>
      </c>
      <c r="J642" s="16">
        <f t="shared" si="37"/>
        <v>1.8077079211060693E-2</v>
      </c>
      <c r="K642" s="16">
        <f t="shared" si="38"/>
        <v>3.4423946722446724E-2</v>
      </c>
      <c r="L642" s="16">
        <f t="shared" si="39"/>
        <v>1.9181224909139202E-2</v>
      </c>
      <c r="M642" s="16">
        <f t="shared" si="40"/>
        <v>1.9181224909139202E-2</v>
      </c>
    </row>
    <row r="643" spans="1:13" x14ac:dyDescent="0.3">
      <c r="A643" t="s">
        <v>650</v>
      </c>
      <c r="B643" s="1">
        <v>0.97401295941979205</v>
      </c>
      <c r="C643" s="1">
        <v>0.97648286217431302</v>
      </c>
      <c r="D643" s="1">
        <v>0.97526668600722899</v>
      </c>
      <c r="E643" s="1">
        <v>0.97122282608695598</v>
      </c>
      <c r="F643" s="1">
        <v>0.97122282608695598</v>
      </c>
      <c r="G643" s="1">
        <v>0.97122282608695598</v>
      </c>
      <c r="H643">
        <v>801</v>
      </c>
      <c r="I643">
        <v>759</v>
      </c>
      <c r="J643" s="16">
        <f t="shared" ref="J643:J706" si="41">(E643-B643)/E643</f>
        <v>-2.8728045283670637E-3</v>
      </c>
      <c r="K643" s="16">
        <f t="shared" ref="K643:K706" si="42">(F643-C643)/F643</f>
        <v>-5.4158900986189243E-3</v>
      </c>
      <c r="L643" s="16">
        <f t="shared" ref="L643:L706" si="43">(G643-D643)/G643</f>
        <v>-4.1636788300844062E-3</v>
      </c>
      <c r="M643" s="16">
        <f t="shared" ref="M643:M706" si="44">ABS(MEDIAN(J643:L643))</f>
        <v>4.1636788300844062E-3</v>
      </c>
    </row>
    <row r="644" spans="1:13" x14ac:dyDescent="0.3">
      <c r="A644" t="s">
        <v>651</v>
      </c>
      <c r="B644" s="1">
        <v>0.96683613551000602</v>
      </c>
      <c r="C644" s="1">
        <v>0.97552519492335099</v>
      </c>
      <c r="D644" s="1">
        <v>0.97435821057542904</v>
      </c>
      <c r="E644" s="1">
        <v>0.98341637181628305</v>
      </c>
      <c r="F644" s="1">
        <v>0.98341637181628305</v>
      </c>
      <c r="G644" s="1">
        <v>0.98341637181628305</v>
      </c>
      <c r="H644">
        <v>1047</v>
      </c>
      <c r="I644">
        <v>958</v>
      </c>
      <c r="J644" s="16">
        <f t="shared" si="41"/>
        <v>1.6859833516554946E-2</v>
      </c>
      <c r="K644" s="16">
        <f t="shared" si="42"/>
        <v>8.0242480388624769E-3</v>
      </c>
      <c r="L644" s="16">
        <f t="shared" si="43"/>
        <v>9.2109115736240896E-3</v>
      </c>
      <c r="M644" s="16">
        <f t="shared" si="44"/>
        <v>9.2109115736240896E-3</v>
      </c>
    </row>
    <row r="645" spans="1:13" x14ac:dyDescent="0.3">
      <c r="A645" t="s">
        <v>652</v>
      </c>
      <c r="B645" s="1">
        <v>0.99751900446320896</v>
      </c>
      <c r="C645" s="1">
        <v>1.01585249548345</v>
      </c>
      <c r="D645" s="1">
        <v>1.08001742616017</v>
      </c>
      <c r="E645" s="1">
        <v>0.96972861178369596</v>
      </c>
      <c r="F645" s="1">
        <v>0.96972861178369596</v>
      </c>
      <c r="G645" s="1">
        <v>0.96972861178369596</v>
      </c>
      <c r="H645">
        <v>1370</v>
      </c>
      <c r="I645">
        <v>1239</v>
      </c>
      <c r="J645" s="16">
        <f t="shared" si="41"/>
        <v>-2.8657907317384403E-2</v>
      </c>
      <c r="K645" s="16">
        <f t="shared" si="42"/>
        <v>-4.7563703018842433E-2</v>
      </c>
      <c r="L645" s="16">
        <f t="shared" si="43"/>
        <v>-0.11373162866011702</v>
      </c>
      <c r="M645" s="16">
        <f t="shared" si="44"/>
        <v>4.7563703018842433E-2</v>
      </c>
    </row>
    <row r="646" spans="1:13" x14ac:dyDescent="0.3">
      <c r="A646" t="s">
        <v>653</v>
      </c>
      <c r="B646" s="1">
        <v>1.00422436340322</v>
      </c>
      <c r="C646" s="1">
        <v>0.99608096043393202</v>
      </c>
      <c r="D646" s="1">
        <v>0.93841449732579996</v>
      </c>
      <c r="E646" s="1">
        <v>1.0008333340425499</v>
      </c>
      <c r="F646" s="1">
        <v>1.0008333340425499</v>
      </c>
      <c r="G646" s="1">
        <v>1.0008333340425499</v>
      </c>
      <c r="H646">
        <v>503</v>
      </c>
      <c r="I646">
        <v>470</v>
      </c>
      <c r="J646" s="16">
        <f t="shared" si="41"/>
        <v>-3.388205853389243E-3</v>
      </c>
      <c r="K646" s="16">
        <f t="shared" si="42"/>
        <v>4.7484165914240678E-3</v>
      </c>
      <c r="L646" s="16">
        <f t="shared" si="43"/>
        <v>6.236686428561368E-2</v>
      </c>
      <c r="M646" s="16">
        <f t="shared" si="44"/>
        <v>4.7484165914240678E-3</v>
      </c>
    </row>
    <row r="647" spans="1:13" x14ac:dyDescent="0.3">
      <c r="A647" t="s">
        <v>654</v>
      </c>
      <c r="B647" s="1">
        <v>0.96302417913412997</v>
      </c>
      <c r="C647" s="1">
        <v>0.96024998833507402</v>
      </c>
      <c r="D647" s="1">
        <v>0.96976047170297597</v>
      </c>
      <c r="E647" s="1">
        <v>0.84753884826325399</v>
      </c>
      <c r="F647" s="1">
        <v>0.84753884826325399</v>
      </c>
      <c r="G647" s="1">
        <v>0.84753884826325399</v>
      </c>
      <c r="H647">
        <v>590</v>
      </c>
      <c r="I647">
        <v>547</v>
      </c>
      <c r="J647" s="16">
        <f t="shared" si="41"/>
        <v>-0.13625963117504802</v>
      </c>
      <c r="K647" s="16">
        <f t="shared" si="42"/>
        <v>-0.13298639974177423</v>
      </c>
      <c r="L647" s="16">
        <f t="shared" si="43"/>
        <v>-0.14420769465632652</v>
      </c>
      <c r="M647" s="16">
        <f t="shared" si="44"/>
        <v>0.13625963117504802</v>
      </c>
    </row>
    <row r="648" spans="1:13" x14ac:dyDescent="0.3">
      <c r="A648" t="s">
        <v>655</v>
      </c>
      <c r="B648" s="1">
        <v>1.0006290836762901</v>
      </c>
      <c r="C648" s="1">
        <v>0.99595588172678196</v>
      </c>
      <c r="D648" s="1">
        <v>1.0006290837066001</v>
      </c>
      <c r="E648" s="1">
        <v>1.0079068924882599</v>
      </c>
      <c r="F648" s="1">
        <v>1.0079068924882599</v>
      </c>
      <c r="G648" s="1">
        <v>1.0079068924882599</v>
      </c>
      <c r="H648">
        <v>214</v>
      </c>
      <c r="I648">
        <v>213</v>
      </c>
      <c r="J648" s="16">
        <f t="shared" si="41"/>
        <v>7.2207153916794883E-3</v>
      </c>
      <c r="K648" s="16">
        <f t="shared" si="42"/>
        <v>1.1857256707486184E-2</v>
      </c>
      <c r="L648" s="16">
        <f t="shared" si="43"/>
        <v>7.2207153616072892E-3</v>
      </c>
      <c r="M648" s="16">
        <f t="shared" si="44"/>
        <v>7.2207153916794883E-3</v>
      </c>
    </row>
    <row r="649" spans="1:13" x14ac:dyDescent="0.3">
      <c r="A649" t="s">
        <v>656</v>
      </c>
      <c r="B649" s="1">
        <v>1.0008221198990801</v>
      </c>
      <c r="C649" s="1">
        <v>1.00082212025339</v>
      </c>
      <c r="D649" s="1">
        <v>1.00082211993138</v>
      </c>
      <c r="E649" s="1">
        <v>0.97804278117647003</v>
      </c>
      <c r="F649" s="1">
        <v>0.97804278117647003</v>
      </c>
      <c r="G649" s="1">
        <v>0.97804278117647003</v>
      </c>
      <c r="H649">
        <v>170</v>
      </c>
      <c r="I649">
        <v>170</v>
      </c>
      <c r="J649" s="16">
        <f t="shared" si="41"/>
        <v>-2.3290738565862334E-2</v>
      </c>
      <c r="K649" s="16">
        <f t="shared" si="42"/>
        <v>-2.3290738928126564E-2</v>
      </c>
      <c r="L649" s="16">
        <f t="shared" si="43"/>
        <v>-2.3290738598887414E-2</v>
      </c>
      <c r="M649" s="16">
        <f t="shared" si="44"/>
        <v>2.3290738598887414E-2</v>
      </c>
    </row>
    <row r="650" spans="1:13" x14ac:dyDescent="0.3">
      <c r="A650" t="s">
        <v>657</v>
      </c>
      <c r="B650" s="1">
        <v>0.98921994640047595</v>
      </c>
      <c r="C650" s="1">
        <v>0.98917430836303699</v>
      </c>
      <c r="D650" s="1">
        <v>0.98929380125284205</v>
      </c>
      <c r="E650" s="1">
        <v>1.0040430141935399</v>
      </c>
      <c r="F650" s="1">
        <v>1.0040430141935399</v>
      </c>
      <c r="G650" s="1">
        <v>1.0040430141935399</v>
      </c>
      <c r="H650">
        <v>310</v>
      </c>
      <c r="I650">
        <v>310</v>
      </c>
      <c r="J650" s="16">
        <f t="shared" si="41"/>
        <v>1.4763379241246996E-2</v>
      </c>
      <c r="K650" s="16">
        <f t="shared" si="42"/>
        <v>1.4808833506446593E-2</v>
      </c>
      <c r="L650" s="16">
        <f t="shared" si="43"/>
        <v>1.4689821782729717E-2</v>
      </c>
      <c r="M650" s="16">
        <f t="shared" si="44"/>
        <v>1.4763379241246996E-2</v>
      </c>
    </row>
    <row r="651" spans="1:13" x14ac:dyDescent="0.3">
      <c r="A651" t="s">
        <v>658</v>
      </c>
      <c r="B651" s="1">
        <v>1.0388467650264399</v>
      </c>
      <c r="C651" s="1">
        <v>1.0392587575130701</v>
      </c>
      <c r="D651" s="1">
        <v>1.03944767250631</v>
      </c>
      <c r="E651" s="1">
        <v>1.0276911063694201</v>
      </c>
      <c r="F651" s="1">
        <v>1.0276911063694201</v>
      </c>
      <c r="G651" s="1">
        <v>1.0276911063694201</v>
      </c>
      <c r="H651">
        <v>314</v>
      </c>
      <c r="I651">
        <v>314</v>
      </c>
      <c r="J651" s="16">
        <f t="shared" si="41"/>
        <v>-1.0855069765496014E-2</v>
      </c>
      <c r="K651" s="16">
        <f t="shared" si="42"/>
        <v>-1.1255961126797779E-2</v>
      </c>
      <c r="L651" s="16">
        <f t="shared" si="43"/>
        <v>-1.1439785811149976E-2</v>
      </c>
      <c r="M651" s="16">
        <f t="shared" si="44"/>
        <v>1.1255961126797779E-2</v>
      </c>
    </row>
    <row r="652" spans="1:13" x14ac:dyDescent="0.3">
      <c r="A652" t="s">
        <v>659</v>
      </c>
      <c r="B652" s="1">
        <v>0.99641871700100404</v>
      </c>
      <c r="C652" s="1">
        <v>0.98991534691188299</v>
      </c>
      <c r="D652" s="1">
        <v>0.986708764110518</v>
      </c>
      <c r="E652" s="1">
        <v>1.0215869270627</v>
      </c>
      <c r="F652" s="1">
        <v>1.0215869270627</v>
      </c>
      <c r="G652" s="1">
        <v>1.0215869270627</v>
      </c>
      <c r="H652">
        <v>308</v>
      </c>
      <c r="I652">
        <v>303</v>
      </c>
      <c r="J652" s="16">
        <f t="shared" si="41"/>
        <v>2.4636386189925571E-2</v>
      </c>
      <c r="K652" s="16">
        <f t="shared" si="42"/>
        <v>3.1002335006263457E-2</v>
      </c>
      <c r="L652" s="16">
        <f t="shared" si="43"/>
        <v>3.4141160216747166E-2</v>
      </c>
      <c r="M652" s="16">
        <f t="shared" si="44"/>
        <v>3.1002335006263457E-2</v>
      </c>
    </row>
    <row r="653" spans="1:13" x14ac:dyDescent="0.3">
      <c r="A653" t="s">
        <v>660</v>
      </c>
      <c r="B653" s="1">
        <v>0.98581007910932605</v>
      </c>
      <c r="C653" s="1">
        <v>0.95386264023393597</v>
      </c>
      <c r="D653" s="1">
        <v>1.0451670834823401</v>
      </c>
      <c r="E653" s="1">
        <v>0.97178401360544198</v>
      </c>
      <c r="F653" s="1">
        <v>0.97178401360544198</v>
      </c>
      <c r="G653" s="1">
        <v>0.97178401360544198</v>
      </c>
      <c r="H653">
        <v>789</v>
      </c>
      <c r="I653">
        <v>735</v>
      </c>
      <c r="J653" s="16">
        <f t="shared" si="41"/>
        <v>-1.4433315744560971E-2</v>
      </c>
      <c r="K653" s="16">
        <f t="shared" si="42"/>
        <v>1.8441724828355061E-2</v>
      </c>
      <c r="L653" s="16">
        <f t="shared" si="43"/>
        <v>-7.5513765249787992E-2</v>
      </c>
      <c r="M653" s="16">
        <f t="shared" si="44"/>
        <v>1.4433315744560971E-2</v>
      </c>
    </row>
    <row r="654" spans="1:13" x14ac:dyDescent="0.3">
      <c r="A654" t="s">
        <v>661</v>
      </c>
      <c r="B654" s="1">
        <v>0.98055317391573804</v>
      </c>
      <c r="C654" s="1">
        <v>0.98211838140487395</v>
      </c>
      <c r="D654" s="1">
        <v>0.98368386875949698</v>
      </c>
      <c r="E654" s="1">
        <v>0.87748864533965198</v>
      </c>
      <c r="F654" s="1">
        <v>0.87748864533965198</v>
      </c>
      <c r="G654" s="1">
        <v>0.87748864533965198</v>
      </c>
      <c r="H654">
        <v>1278</v>
      </c>
      <c r="I654">
        <v>1266</v>
      </c>
      <c r="J654" s="16">
        <f t="shared" si="41"/>
        <v>-0.11745397404680101</v>
      </c>
      <c r="K654" s="16">
        <f t="shared" si="42"/>
        <v>-0.11923770936628204</v>
      </c>
      <c r="L654" s="16">
        <f t="shared" si="43"/>
        <v>-0.12102176362491815</v>
      </c>
      <c r="M654" s="16">
        <f t="shared" si="44"/>
        <v>0.11923770936628204</v>
      </c>
    </row>
    <row r="655" spans="1:13" x14ac:dyDescent="0.3">
      <c r="A655" t="s">
        <v>662</v>
      </c>
      <c r="B655" s="1">
        <v>0.99798958155719697</v>
      </c>
      <c r="C655" s="1">
        <v>0.997963248532028</v>
      </c>
      <c r="D655" s="1">
        <v>0.99797007914053104</v>
      </c>
      <c r="E655" s="1">
        <v>1.0029228880597001</v>
      </c>
      <c r="F655" s="1">
        <v>1.0029228880597001</v>
      </c>
      <c r="G655" s="1">
        <v>1.0029228880597001</v>
      </c>
      <c r="H655">
        <v>268</v>
      </c>
      <c r="I655">
        <v>268</v>
      </c>
      <c r="J655" s="16">
        <f t="shared" si="41"/>
        <v>4.9189290235935471E-3</v>
      </c>
      <c r="K655" s="16">
        <f t="shared" si="42"/>
        <v>4.945185304592291E-3</v>
      </c>
      <c r="L655" s="16">
        <f t="shared" si="43"/>
        <v>4.9383746030075924E-3</v>
      </c>
      <c r="M655" s="16">
        <f t="shared" si="44"/>
        <v>4.9383746030075924E-3</v>
      </c>
    </row>
    <row r="656" spans="1:13" x14ac:dyDescent="0.3">
      <c r="A656" t="s">
        <v>663</v>
      </c>
      <c r="B656" s="1">
        <v>0.99102862237612799</v>
      </c>
      <c r="C656" s="1">
        <v>0.95616512006349796</v>
      </c>
      <c r="D656" s="1">
        <v>0.96806881007839896</v>
      </c>
      <c r="E656" s="1">
        <v>1.0058936558095199</v>
      </c>
      <c r="F656" s="1">
        <v>1.0058936558095199</v>
      </c>
      <c r="G656" s="1">
        <v>1.0058936558095199</v>
      </c>
      <c r="H656">
        <v>559</v>
      </c>
      <c r="I656">
        <v>525</v>
      </c>
      <c r="J656" s="16">
        <f t="shared" si="41"/>
        <v>1.477793735703495E-2</v>
      </c>
      <c r="K656" s="16">
        <f t="shared" si="42"/>
        <v>4.9437170081365715E-2</v>
      </c>
      <c r="L656" s="16">
        <f t="shared" si="43"/>
        <v>3.7603225264086625E-2</v>
      </c>
      <c r="M656" s="16">
        <f t="shared" si="44"/>
        <v>3.7603225264086625E-2</v>
      </c>
    </row>
    <row r="657" spans="1:13" x14ac:dyDescent="0.3">
      <c r="A657" t="s">
        <v>664</v>
      </c>
      <c r="B657" s="1">
        <v>0.96571423805998802</v>
      </c>
      <c r="C657" s="1">
        <v>0.96734414794867196</v>
      </c>
      <c r="D657" s="1">
        <v>0.97086700799584102</v>
      </c>
      <c r="E657" s="1">
        <v>1.0096696422551901</v>
      </c>
      <c r="F657" s="1">
        <v>1.0096696422551901</v>
      </c>
      <c r="G657" s="1">
        <v>1.0096696422551901</v>
      </c>
      <c r="H657">
        <v>1706</v>
      </c>
      <c r="I657">
        <v>1685</v>
      </c>
      <c r="J657" s="16">
        <f t="shared" si="41"/>
        <v>4.3534441718009478E-2</v>
      </c>
      <c r="K657" s="16">
        <f t="shared" si="42"/>
        <v>4.1920141534591671E-2</v>
      </c>
      <c r="L657" s="16">
        <f t="shared" si="43"/>
        <v>3.8431020044021318E-2</v>
      </c>
      <c r="M657" s="16">
        <f t="shared" si="44"/>
        <v>4.1920141534591671E-2</v>
      </c>
    </row>
    <row r="658" spans="1:13" x14ac:dyDescent="0.3">
      <c r="A658" t="s">
        <v>665</v>
      </c>
      <c r="B658" s="1">
        <v>0.99883218775426297</v>
      </c>
      <c r="C658" s="1">
        <v>0.99882819971983094</v>
      </c>
      <c r="D658" s="1">
        <v>0.99422086539930499</v>
      </c>
      <c r="E658" s="1">
        <v>1.0038985372685101</v>
      </c>
      <c r="F658" s="1">
        <v>1.0038985372685101</v>
      </c>
      <c r="G658" s="1">
        <v>1.0038985372685101</v>
      </c>
      <c r="H658">
        <v>434</v>
      </c>
      <c r="I658">
        <v>432</v>
      </c>
      <c r="J658" s="16">
        <f t="shared" si="41"/>
        <v>5.0466748642069509E-3</v>
      </c>
      <c r="K658" s="16">
        <f t="shared" si="42"/>
        <v>5.0506474115152421E-3</v>
      </c>
      <c r="L658" s="16">
        <f t="shared" si="43"/>
        <v>9.6400896205476143E-3</v>
      </c>
      <c r="M658" s="16">
        <f t="shared" si="44"/>
        <v>5.0506474115152421E-3</v>
      </c>
    </row>
    <row r="659" spans="1:13" x14ac:dyDescent="0.3">
      <c r="A659" t="s">
        <v>666</v>
      </c>
      <c r="B659" s="1">
        <v>1.35523858052527</v>
      </c>
      <c r="C659" s="1">
        <v>1.5823852429312699</v>
      </c>
      <c r="D659" s="1">
        <v>1.4043560785296101</v>
      </c>
      <c r="E659" s="1">
        <v>1.00352771662817</v>
      </c>
      <c r="F659" s="1">
        <v>1.00352771662817</v>
      </c>
      <c r="G659" s="1">
        <v>1.00352771662817</v>
      </c>
      <c r="H659">
        <v>564</v>
      </c>
      <c r="I659">
        <v>433</v>
      </c>
      <c r="J659" s="16">
        <f t="shared" si="41"/>
        <v>-0.35047448921375129</v>
      </c>
      <c r="K659" s="16">
        <f t="shared" si="42"/>
        <v>-0.57682265941597299</v>
      </c>
      <c r="L659" s="16">
        <f t="shared" si="43"/>
        <v>-0.39941932371157041</v>
      </c>
      <c r="M659" s="16">
        <f t="shared" si="44"/>
        <v>0.39941932371157041</v>
      </c>
    </row>
    <row r="660" spans="1:13" x14ac:dyDescent="0.3">
      <c r="A660" t="s">
        <v>667</v>
      </c>
      <c r="B660" s="1">
        <v>5.8989618360139904</v>
      </c>
      <c r="C660" s="1">
        <v>1.2978570827273901</v>
      </c>
      <c r="D660" s="1">
        <v>2.2209119635945398</v>
      </c>
      <c r="E660" s="1">
        <v>1.0388235087623201</v>
      </c>
      <c r="F660" s="1">
        <v>1.0388235087623201</v>
      </c>
      <c r="G660" s="1">
        <v>1.0388235087623201</v>
      </c>
      <c r="H660">
        <v>1104</v>
      </c>
      <c r="I660">
        <v>913</v>
      </c>
      <c r="J660" s="16">
        <f t="shared" si="41"/>
        <v>-4.6785024465244911</v>
      </c>
      <c r="K660" s="16">
        <f t="shared" si="42"/>
        <v>-0.24935282247673521</v>
      </c>
      <c r="L660" s="16">
        <f t="shared" si="43"/>
        <v>-1.1379107662287975</v>
      </c>
      <c r="M660" s="16">
        <f t="shared" si="44"/>
        <v>1.1379107662287975</v>
      </c>
    </row>
    <row r="661" spans="1:13" x14ac:dyDescent="0.3">
      <c r="A661" t="s">
        <v>668</v>
      </c>
      <c r="B661" s="1">
        <v>0.93406256505604401</v>
      </c>
      <c r="C661" s="1">
        <v>1.0319241739870799</v>
      </c>
      <c r="D661" s="1">
        <v>0.94294658932402897</v>
      </c>
      <c r="E661" s="1">
        <v>1.0070299205128199</v>
      </c>
      <c r="F661" s="1">
        <v>1.0070299205128199</v>
      </c>
      <c r="G661" s="1">
        <v>1.0070299205128199</v>
      </c>
      <c r="H661">
        <v>457</v>
      </c>
      <c r="I661">
        <v>390</v>
      </c>
      <c r="J661" s="16">
        <f t="shared" si="41"/>
        <v>7.2457981605569391E-2</v>
      </c>
      <c r="K661" s="16">
        <f t="shared" si="42"/>
        <v>-2.4720470531384854E-2</v>
      </c>
      <c r="L661" s="16">
        <f t="shared" si="43"/>
        <v>6.3635975340392226E-2</v>
      </c>
      <c r="M661" s="16">
        <f t="shared" si="44"/>
        <v>6.3635975340392226E-2</v>
      </c>
    </row>
    <row r="662" spans="1:13" x14ac:dyDescent="0.3">
      <c r="A662" t="s">
        <v>669</v>
      </c>
      <c r="B662" s="1">
        <v>0.99178235643105295</v>
      </c>
      <c r="C662" s="1">
        <v>0.99178422521431098</v>
      </c>
      <c r="D662" s="1">
        <v>0.99177979880771405</v>
      </c>
      <c r="E662" s="1">
        <v>1.00589859939759</v>
      </c>
      <c r="F662" s="1">
        <v>1.00589859939759</v>
      </c>
      <c r="G662" s="1">
        <v>1.00589859939759</v>
      </c>
      <c r="H662">
        <v>498</v>
      </c>
      <c r="I662">
        <v>498</v>
      </c>
      <c r="J662" s="16">
        <f t="shared" si="41"/>
        <v>1.4033465177296119E-2</v>
      </c>
      <c r="K662" s="16">
        <f t="shared" si="42"/>
        <v>1.4031607352601713E-2</v>
      </c>
      <c r="L662" s="16">
        <f t="shared" si="43"/>
        <v>1.4036007802706302E-2</v>
      </c>
      <c r="M662" s="16">
        <f t="shared" si="44"/>
        <v>1.4033465177296119E-2</v>
      </c>
    </row>
    <row r="663" spans="1:13" x14ac:dyDescent="0.3">
      <c r="A663" t="s">
        <v>670</v>
      </c>
      <c r="B663" s="1">
        <v>0.95803246050414403</v>
      </c>
      <c r="C663" s="1">
        <v>0.96924358804234401</v>
      </c>
      <c r="D663" s="1">
        <v>0.96090519138978003</v>
      </c>
      <c r="E663" s="1">
        <v>1.0138178200000001</v>
      </c>
      <c r="F663" s="1">
        <v>1.0138178200000001</v>
      </c>
      <c r="G663" s="1">
        <v>1.0138178200000001</v>
      </c>
      <c r="H663">
        <v>723</v>
      </c>
      <c r="I663">
        <v>670</v>
      </c>
      <c r="J663" s="16">
        <f t="shared" si="41"/>
        <v>5.5025033487630007E-2</v>
      </c>
      <c r="K663" s="16">
        <f t="shared" si="42"/>
        <v>4.3966707901875388E-2</v>
      </c>
      <c r="L663" s="16">
        <f t="shared" si="43"/>
        <v>5.2191456459327233E-2</v>
      </c>
      <c r="M663" s="16">
        <f t="shared" si="44"/>
        <v>5.2191456459327233E-2</v>
      </c>
    </row>
    <row r="664" spans="1:13" x14ac:dyDescent="0.3">
      <c r="A664" t="s">
        <v>671</v>
      </c>
      <c r="B664" s="1">
        <v>0.95740196623615303</v>
      </c>
      <c r="C664" s="1">
        <v>0.95549798983614298</v>
      </c>
      <c r="D664" s="1">
        <v>0.95780219154506296</v>
      </c>
      <c r="E664" s="1">
        <v>1.00955147518037</v>
      </c>
      <c r="F664" s="1">
        <v>1.00955147518037</v>
      </c>
      <c r="G664" s="1">
        <v>1.00955147518037</v>
      </c>
      <c r="H664">
        <v>2118</v>
      </c>
      <c r="I664">
        <v>2079</v>
      </c>
      <c r="J664" s="16">
        <f t="shared" si="41"/>
        <v>5.1656116826435006E-2</v>
      </c>
      <c r="K664" s="16">
        <f t="shared" si="42"/>
        <v>5.3542079500770043E-2</v>
      </c>
      <c r="L664" s="16">
        <f t="shared" si="43"/>
        <v>5.125967809225513E-2</v>
      </c>
      <c r="M664" s="16">
        <f t="shared" si="44"/>
        <v>5.1656116826435006E-2</v>
      </c>
    </row>
    <row r="665" spans="1:13" x14ac:dyDescent="0.3">
      <c r="A665" t="s">
        <v>672</v>
      </c>
      <c r="B665" s="1">
        <v>1.0298188463398199</v>
      </c>
      <c r="C665" s="1">
        <v>1.0290599943063601</v>
      </c>
      <c r="D665" s="1">
        <v>1.01016006522644</v>
      </c>
      <c r="E665" s="1">
        <v>1.0340282116618</v>
      </c>
      <c r="F665" s="1">
        <v>1.0340282116618</v>
      </c>
      <c r="G665" s="1">
        <v>1.0340282116618</v>
      </c>
      <c r="H665">
        <v>700</v>
      </c>
      <c r="I665">
        <v>686</v>
      </c>
      <c r="J665" s="16">
        <f t="shared" si="41"/>
        <v>4.0708418537393721E-3</v>
      </c>
      <c r="K665" s="16">
        <f t="shared" si="42"/>
        <v>4.8047212826577198E-3</v>
      </c>
      <c r="L665" s="16">
        <f t="shared" si="43"/>
        <v>2.3082683979193618E-2</v>
      </c>
      <c r="M665" s="16">
        <f t="shared" si="44"/>
        <v>4.8047212826577198E-3</v>
      </c>
    </row>
    <row r="666" spans="1:13" x14ac:dyDescent="0.3">
      <c r="A666" t="s">
        <v>673</v>
      </c>
      <c r="B666" s="1">
        <v>1.2739945187072701</v>
      </c>
      <c r="C666" s="1">
        <v>1.0664427713878</v>
      </c>
      <c r="D666" s="1">
        <v>0.96680413879032501</v>
      </c>
      <c r="E666" s="1">
        <v>1.00373307609375</v>
      </c>
      <c r="F666" s="1">
        <v>1.00373307609375</v>
      </c>
      <c r="G666" s="1">
        <v>1.00373307609375</v>
      </c>
      <c r="H666">
        <v>751</v>
      </c>
      <c r="I666">
        <v>640</v>
      </c>
      <c r="J666" s="16">
        <f t="shared" si="41"/>
        <v>-0.26925628840020149</v>
      </c>
      <c r="K666" s="16">
        <f t="shared" si="42"/>
        <v>-6.2476465892803604E-2</v>
      </c>
      <c r="L666" s="16">
        <f t="shared" si="43"/>
        <v>3.6791591492772266E-2</v>
      </c>
      <c r="M666" s="16">
        <f t="shared" si="44"/>
        <v>6.2476465892803604E-2</v>
      </c>
    </row>
    <row r="667" spans="1:13" x14ac:dyDescent="0.3">
      <c r="A667" t="s">
        <v>674</v>
      </c>
      <c r="B667" s="1">
        <v>0.99844735428752596</v>
      </c>
      <c r="C667" s="1">
        <v>0.99558084037554895</v>
      </c>
      <c r="D667" s="1">
        <v>0.99844735428784204</v>
      </c>
      <c r="E667" s="1">
        <v>1.00562739942528</v>
      </c>
      <c r="F667" s="1">
        <v>1.00562739942528</v>
      </c>
      <c r="G667" s="1">
        <v>1.00562739942528</v>
      </c>
      <c r="H667">
        <v>349</v>
      </c>
      <c r="I667">
        <v>348</v>
      </c>
      <c r="J667" s="16">
        <f t="shared" si="41"/>
        <v>7.1398662584745386E-3</v>
      </c>
      <c r="K667" s="16">
        <f t="shared" si="42"/>
        <v>9.9903394194238455E-3</v>
      </c>
      <c r="L667" s="16">
        <f t="shared" si="43"/>
        <v>7.1398662581602266E-3</v>
      </c>
      <c r="M667" s="16">
        <f t="shared" si="44"/>
        <v>7.1398662584745386E-3</v>
      </c>
    </row>
    <row r="668" spans="1:13" x14ac:dyDescent="0.3">
      <c r="A668" t="s">
        <v>675</v>
      </c>
      <c r="B668" s="1">
        <v>0.98767896515056897</v>
      </c>
      <c r="C668" s="1">
        <v>0.98102740451913395</v>
      </c>
      <c r="D668" s="1">
        <v>0.96109893477635899</v>
      </c>
      <c r="E668" s="1">
        <v>1.0114762545820699</v>
      </c>
      <c r="F668" s="1">
        <v>1.0114762545820699</v>
      </c>
      <c r="G668" s="1">
        <v>1.0114762545820699</v>
      </c>
      <c r="H668">
        <v>1058</v>
      </c>
      <c r="I668">
        <v>993</v>
      </c>
      <c r="J668" s="16">
        <f t="shared" si="41"/>
        <v>2.3527284326940234E-2</v>
      </c>
      <c r="K668" s="16">
        <f t="shared" si="42"/>
        <v>3.0103376055542766E-2</v>
      </c>
      <c r="L668" s="16">
        <f t="shared" si="43"/>
        <v>4.9805736494057624E-2</v>
      </c>
      <c r="M668" s="16">
        <f t="shared" si="44"/>
        <v>3.0103376055542766E-2</v>
      </c>
    </row>
    <row r="669" spans="1:13" x14ac:dyDescent="0.3">
      <c r="A669" t="s">
        <v>676</v>
      </c>
      <c r="B669" s="1">
        <v>0.97021297449658195</v>
      </c>
      <c r="C669" s="1">
        <v>1.1169630795076899</v>
      </c>
      <c r="D669" s="1">
        <v>0.942851035428239</v>
      </c>
      <c r="E669" s="1">
        <v>0.97242187499999999</v>
      </c>
      <c r="F669" s="1">
        <v>0.97242187499999999</v>
      </c>
      <c r="G669" s="1">
        <v>0.97242187499999999</v>
      </c>
      <c r="H669">
        <v>588</v>
      </c>
      <c r="I669">
        <v>520</v>
      </c>
      <c r="J669" s="16">
        <f t="shared" si="41"/>
        <v>2.2715454682856072E-3</v>
      </c>
      <c r="K669" s="16">
        <f t="shared" si="42"/>
        <v>-0.1486404288341312</v>
      </c>
      <c r="L669" s="16">
        <f t="shared" si="43"/>
        <v>3.0409475899296268E-2</v>
      </c>
      <c r="M669" s="16">
        <f t="shared" si="44"/>
        <v>2.2715454682856072E-3</v>
      </c>
    </row>
    <row r="670" spans="1:13" x14ac:dyDescent="0.3">
      <c r="A670" t="s">
        <v>677</v>
      </c>
      <c r="B670" s="1">
        <v>0.99482586468620104</v>
      </c>
      <c r="C670" s="1">
        <v>1.01959628984879</v>
      </c>
      <c r="D670" s="1">
        <v>0.97697683821749604</v>
      </c>
      <c r="E670" s="1">
        <v>0.96032620614035002</v>
      </c>
      <c r="F670" s="1">
        <v>0.96032620614035002</v>
      </c>
      <c r="G670" s="1">
        <v>0.96032620614035002</v>
      </c>
      <c r="H670">
        <v>1181</v>
      </c>
      <c r="I670">
        <v>1140</v>
      </c>
      <c r="J670" s="16">
        <f t="shared" si="41"/>
        <v>-3.592493709456155E-2</v>
      </c>
      <c r="K670" s="16">
        <f t="shared" si="42"/>
        <v>-6.1718698635386177E-2</v>
      </c>
      <c r="L670" s="16">
        <f t="shared" si="43"/>
        <v>-1.7338516819265629E-2</v>
      </c>
      <c r="M670" s="16">
        <f t="shared" si="44"/>
        <v>3.592493709456155E-2</v>
      </c>
    </row>
    <row r="671" spans="1:13" x14ac:dyDescent="0.3">
      <c r="A671" t="s">
        <v>678</v>
      </c>
      <c r="B671" s="1">
        <v>0.95967477272826296</v>
      </c>
      <c r="C671" s="1">
        <v>0.95899920206639599</v>
      </c>
      <c r="D671" s="1">
        <v>0.94450221076035501</v>
      </c>
      <c r="E671" s="1">
        <v>0.86075867947923101</v>
      </c>
      <c r="F671" s="1">
        <v>0.86075867947923101</v>
      </c>
      <c r="G671" s="1">
        <v>0.86075867947923101</v>
      </c>
      <c r="H671">
        <v>1834</v>
      </c>
      <c r="I671">
        <v>1613</v>
      </c>
      <c r="J671" s="16">
        <f t="shared" si="41"/>
        <v>-0.11491733468069974</v>
      </c>
      <c r="K671" s="16">
        <f t="shared" si="42"/>
        <v>-0.11413247978701956</v>
      </c>
      <c r="L671" s="16">
        <f t="shared" si="43"/>
        <v>-9.7290371015241808E-2</v>
      </c>
      <c r="M671" s="16">
        <f t="shared" si="44"/>
        <v>0.11413247978701956</v>
      </c>
    </row>
    <row r="672" spans="1:13" x14ac:dyDescent="0.3">
      <c r="A672" t="s">
        <v>679</v>
      </c>
      <c r="B672" s="1">
        <v>0.96771036829451995</v>
      </c>
      <c r="C672" s="1">
        <v>0.96135889338485803</v>
      </c>
      <c r="D672" s="1">
        <v>0.97089690969849796</v>
      </c>
      <c r="E672" s="1">
        <v>1.00688063648648</v>
      </c>
      <c r="F672" s="1">
        <v>1.00688063648648</v>
      </c>
      <c r="G672" s="1">
        <v>1.00688063648648</v>
      </c>
      <c r="H672">
        <v>315</v>
      </c>
      <c r="I672">
        <v>296</v>
      </c>
      <c r="J672" s="16">
        <f t="shared" si="41"/>
        <v>3.890259358710587E-2</v>
      </c>
      <c r="K672" s="16">
        <f t="shared" si="42"/>
        <v>4.5210664950783554E-2</v>
      </c>
      <c r="L672" s="16">
        <f t="shared" si="43"/>
        <v>3.5737827786168956E-2</v>
      </c>
      <c r="M672" s="16">
        <f t="shared" si="44"/>
        <v>3.890259358710587E-2</v>
      </c>
    </row>
    <row r="673" spans="1:13" x14ac:dyDescent="0.3">
      <c r="A673" t="s">
        <v>680</v>
      </c>
      <c r="B673" s="1">
        <v>0.99484719202435201</v>
      </c>
      <c r="C673" s="1">
        <v>0.97863372161208695</v>
      </c>
      <c r="D673" s="1">
        <v>0.99481690279335799</v>
      </c>
      <c r="E673" s="1">
        <v>1.00226584214876</v>
      </c>
      <c r="F673" s="1">
        <v>1.00226584214876</v>
      </c>
      <c r="G673" s="1">
        <v>1.00226584214876</v>
      </c>
      <c r="H673">
        <v>123</v>
      </c>
      <c r="I673">
        <v>121</v>
      </c>
      <c r="J673" s="16">
        <f t="shared" si="41"/>
        <v>7.4018786358149742E-3</v>
      </c>
      <c r="K673" s="16">
        <f t="shared" si="42"/>
        <v>2.3578694935874615E-2</v>
      </c>
      <c r="L673" s="16">
        <f t="shared" si="43"/>
        <v>7.4320993913473401E-3</v>
      </c>
      <c r="M673" s="16">
        <f t="shared" si="44"/>
        <v>7.4320993913473401E-3</v>
      </c>
    </row>
    <row r="674" spans="1:13" x14ac:dyDescent="0.3">
      <c r="A674" t="s">
        <v>681</v>
      </c>
      <c r="B674" s="1">
        <v>0.993827523258622</v>
      </c>
      <c r="C674" s="1">
        <v>0.97973072309779097</v>
      </c>
      <c r="D674" s="1">
        <v>0.99362025964439105</v>
      </c>
      <c r="E674" s="1">
        <v>1.00813340745967</v>
      </c>
      <c r="F674" s="1">
        <v>1.00813340745967</v>
      </c>
      <c r="G674" s="1">
        <v>1.00813340745967</v>
      </c>
      <c r="H674">
        <v>1509</v>
      </c>
      <c r="I674">
        <v>1488</v>
      </c>
      <c r="J674" s="16">
        <f t="shared" si="41"/>
        <v>1.4190467348063009E-2</v>
      </c>
      <c r="K674" s="16">
        <f t="shared" si="42"/>
        <v>2.8173537501796578E-2</v>
      </c>
      <c r="L674" s="16">
        <f t="shared" si="43"/>
        <v>1.4396058803218956E-2</v>
      </c>
      <c r="M674" s="16">
        <f t="shared" si="44"/>
        <v>1.4396058803218956E-2</v>
      </c>
    </row>
    <row r="675" spans="1:13" x14ac:dyDescent="0.3">
      <c r="A675" t="s">
        <v>682</v>
      </c>
      <c r="B675" s="1">
        <v>0.992918691910184</v>
      </c>
      <c r="C675" s="1">
        <v>0.95833501071186999</v>
      </c>
      <c r="D675" s="1">
        <v>0.899656269151627</v>
      </c>
      <c r="E675" s="1">
        <v>1.01323358099415</v>
      </c>
      <c r="F675" s="1">
        <v>1.01323358099415</v>
      </c>
      <c r="G675" s="1">
        <v>1.01323358099415</v>
      </c>
      <c r="H675">
        <v>406</v>
      </c>
      <c r="I675">
        <v>342</v>
      </c>
      <c r="J675" s="16">
        <f t="shared" si="41"/>
        <v>2.0049561586809705E-2</v>
      </c>
      <c r="K675" s="16">
        <f t="shared" si="42"/>
        <v>5.4181554295126465E-2</v>
      </c>
      <c r="L675" s="16">
        <f t="shared" si="43"/>
        <v>0.11209390803163551</v>
      </c>
      <c r="M675" s="16">
        <f t="shared" si="44"/>
        <v>5.4181554295126465E-2</v>
      </c>
    </row>
    <row r="676" spans="1:13" x14ac:dyDescent="0.3">
      <c r="A676" t="s">
        <v>683</v>
      </c>
      <c r="B676" s="1">
        <v>0.99261185063574098</v>
      </c>
      <c r="C676" s="1">
        <v>0.99255952722407503</v>
      </c>
      <c r="D676" s="1">
        <v>0.99260374640022098</v>
      </c>
      <c r="E676" s="1">
        <v>1.00352650363984</v>
      </c>
      <c r="F676" s="1">
        <v>1.00352650363984</v>
      </c>
      <c r="G676" s="1">
        <v>1.00352650363984</v>
      </c>
      <c r="H676">
        <v>522</v>
      </c>
      <c r="I676">
        <v>522</v>
      </c>
      <c r="J676" s="16">
        <f t="shared" si="41"/>
        <v>1.0876297700669601E-2</v>
      </c>
      <c r="K676" s="16">
        <f t="shared" si="42"/>
        <v>1.0928437242053076E-2</v>
      </c>
      <c r="L676" s="16">
        <f t="shared" si="43"/>
        <v>1.0884373457005488E-2</v>
      </c>
      <c r="M676" s="16">
        <f t="shared" si="44"/>
        <v>1.0884373457005488E-2</v>
      </c>
    </row>
    <row r="677" spans="1:13" x14ac:dyDescent="0.3">
      <c r="A677" t="s">
        <v>684</v>
      </c>
      <c r="B677" s="1">
        <v>0.93206963827887201</v>
      </c>
      <c r="C677" s="1">
        <v>0.92319741934448196</v>
      </c>
      <c r="D677" s="1">
        <v>0.93607981987700695</v>
      </c>
      <c r="E677" s="1">
        <v>1.00533734589178</v>
      </c>
      <c r="F677" s="1">
        <v>1.00533734589178</v>
      </c>
      <c r="G677" s="1">
        <v>1.00533734589178</v>
      </c>
      <c r="H677">
        <v>653</v>
      </c>
      <c r="I677">
        <v>499</v>
      </c>
      <c r="J677" s="16">
        <f t="shared" si="41"/>
        <v>7.2878728630056233E-2</v>
      </c>
      <c r="K677" s="16">
        <f t="shared" si="42"/>
        <v>8.1703844866556921E-2</v>
      </c>
      <c r="L677" s="16">
        <f t="shared" si="43"/>
        <v>6.8889837125605341E-2</v>
      </c>
      <c r="M677" s="16">
        <f t="shared" si="44"/>
        <v>7.2878728630056233E-2</v>
      </c>
    </row>
    <row r="678" spans="1:13" x14ac:dyDescent="0.3">
      <c r="A678" t="s">
        <v>685</v>
      </c>
      <c r="B678" s="1">
        <v>0.99646743733193299</v>
      </c>
      <c r="C678" s="1">
        <v>0.99395928911078701</v>
      </c>
      <c r="D678" s="1">
        <v>0.99646743733201304</v>
      </c>
      <c r="E678" s="1">
        <v>0.97671796482411999</v>
      </c>
      <c r="F678" s="1">
        <v>0.97671796482411999</v>
      </c>
      <c r="G678" s="1">
        <v>0.97671796482411999</v>
      </c>
      <c r="H678">
        <v>399</v>
      </c>
      <c r="I678">
        <v>398</v>
      </c>
      <c r="J678" s="16">
        <f t="shared" si="41"/>
        <v>-2.0220240866941911E-2</v>
      </c>
      <c r="K678" s="16">
        <f t="shared" si="42"/>
        <v>-1.7652305893412858E-2</v>
      </c>
      <c r="L678" s="16">
        <f t="shared" si="43"/>
        <v>-2.0220240867023866E-2</v>
      </c>
      <c r="M678" s="16">
        <f t="shared" si="44"/>
        <v>2.0220240866941911E-2</v>
      </c>
    </row>
    <row r="679" spans="1:13" x14ac:dyDescent="0.3">
      <c r="A679" t="s">
        <v>686</v>
      </c>
      <c r="B679" s="1">
        <v>1.48879266588968</v>
      </c>
      <c r="C679" s="1">
        <v>1.7927840532561099</v>
      </c>
      <c r="D679" s="1">
        <v>1.4483298409178</v>
      </c>
      <c r="E679" s="1">
        <v>1.01366844977856</v>
      </c>
      <c r="F679" s="1">
        <v>1.01366844977856</v>
      </c>
      <c r="G679" s="1">
        <v>1.01366844977856</v>
      </c>
      <c r="H679">
        <v>1389</v>
      </c>
      <c r="I679">
        <v>1129</v>
      </c>
      <c r="J679" s="16">
        <f t="shared" si="41"/>
        <v>-0.4687175734974417</v>
      </c>
      <c r="K679" s="16">
        <f t="shared" si="42"/>
        <v>-0.76860989769164756</v>
      </c>
      <c r="L679" s="16">
        <f t="shared" si="43"/>
        <v>-0.42880035502159869</v>
      </c>
      <c r="M679" s="16">
        <f t="shared" si="44"/>
        <v>0.4687175734974417</v>
      </c>
    </row>
    <row r="680" spans="1:13" x14ac:dyDescent="0.3">
      <c r="A680" t="s">
        <v>687</v>
      </c>
      <c r="B680" s="1">
        <v>0.97120843998109396</v>
      </c>
      <c r="C680" s="1">
        <v>0.97077575199285804</v>
      </c>
      <c r="D680" s="1">
        <v>0.959251867026645</v>
      </c>
      <c r="E680" s="1">
        <v>0.96609972713178205</v>
      </c>
      <c r="F680" s="1">
        <v>0.96609972713178205</v>
      </c>
      <c r="G680" s="1">
        <v>0.96609972713178205</v>
      </c>
      <c r="H680">
        <v>1104</v>
      </c>
      <c r="I680">
        <v>1032</v>
      </c>
      <c r="J680" s="16">
        <f t="shared" si="41"/>
        <v>-5.2879767024455989E-3</v>
      </c>
      <c r="K680" s="16">
        <f t="shared" si="42"/>
        <v>-4.8401057672984417E-3</v>
      </c>
      <c r="L680" s="16">
        <f t="shared" si="43"/>
        <v>7.0881503356464131E-3</v>
      </c>
      <c r="M680" s="16">
        <f t="shared" si="44"/>
        <v>4.8401057672984417E-3</v>
      </c>
    </row>
    <row r="681" spans="1:13" x14ac:dyDescent="0.3">
      <c r="A681" t="s">
        <v>688</v>
      </c>
      <c r="B681" s="1">
        <v>0.96663924039486204</v>
      </c>
      <c r="C681" s="1">
        <v>0.96663924039897997</v>
      </c>
      <c r="D681" s="1">
        <v>0.96663924039680105</v>
      </c>
      <c r="E681" s="1">
        <v>1.011441442</v>
      </c>
      <c r="F681" s="1">
        <v>1.011441442</v>
      </c>
      <c r="G681" s="1">
        <v>1.011441442</v>
      </c>
      <c r="H681">
        <v>50</v>
      </c>
      <c r="I681">
        <v>50</v>
      </c>
      <c r="J681" s="16">
        <f t="shared" si="41"/>
        <v>4.429539837377746E-2</v>
      </c>
      <c r="K681" s="16">
        <f t="shared" si="42"/>
        <v>4.4295398369706113E-2</v>
      </c>
      <c r="L681" s="16">
        <f t="shared" si="43"/>
        <v>4.4295398371860389E-2</v>
      </c>
      <c r="M681" s="16">
        <f t="shared" si="44"/>
        <v>4.4295398371860389E-2</v>
      </c>
    </row>
    <row r="682" spans="1:13" x14ac:dyDescent="0.3">
      <c r="A682" t="s">
        <v>689</v>
      </c>
      <c r="B682" s="1">
        <v>0.98372060948579998</v>
      </c>
      <c r="C682" s="1">
        <v>0.97055424701515103</v>
      </c>
      <c r="D682" s="1">
        <v>0.972821638891462</v>
      </c>
      <c r="E682" s="1">
        <v>1.00641037715827</v>
      </c>
      <c r="F682" s="1">
        <v>1.00641037715827</v>
      </c>
      <c r="G682" s="1">
        <v>1.00641037715827</v>
      </c>
      <c r="H682">
        <v>1140</v>
      </c>
      <c r="I682">
        <v>1112</v>
      </c>
      <c r="J682" s="16">
        <f t="shared" si="41"/>
        <v>2.2545244154315552E-2</v>
      </c>
      <c r="K682" s="16">
        <f t="shared" si="42"/>
        <v>3.5627742873998752E-2</v>
      </c>
      <c r="L682" s="16">
        <f t="shared" si="43"/>
        <v>3.3374793254467551E-2</v>
      </c>
      <c r="M682" s="16">
        <f t="shared" si="44"/>
        <v>3.3374793254467551E-2</v>
      </c>
    </row>
    <row r="683" spans="1:13" x14ac:dyDescent="0.3">
      <c r="A683" t="s">
        <v>690</v>
      </c>
      <c r="B683" s="1">
        <v>1.04012776308794</v>
      </c>
      <c r="C683" s="1">
        <v>1.54116384628745</v>
      </c>
      <c r="D683" s="1">
        <v>1.1718758769134501</v>
      </c>
      <c r="E683" s="1">
        <v>1.0226487397806501</v>
      </c>
      <c r="F683" s="1">
        <v>1.0226487397806501</v>
      </c>
      <c r="G683" s="1">
        <v>1.0226487397806501</v>
      </c>
      <c r="H683">
        <v>1225</v>
      </c>
      <c r="I683">
        <v>1003</v>
      </c>
      <c r="J683" s="16">
        <f t="shared" si="41"/>
        <v>-1.709191301701404E-2</v>
      </c>
      <c r="K683" s="16">
        <f t="shared" si="42"/>
        <v>-0.5070314824012957</v>
      </c>
      <c r="L683" s="16">
        <f t="shared" si="43"/>
        <v>-0.1459221835689232</v>
      </c>
      <c r="M683" s="16">
        <f t="shared" si="44"/>
        <v>0.1459221835689232</v>
      </c>
    </row>
    <row r="684" spans="1:13" x14ac:dyDescent="0.3">
      <c r="A684" t="s">
        <v>691</v>
      </c>
      <c r="B684" s="1">
        <v>0.99987007773613601</v>
      </c>
      <c r="C684" s="1">
        <v>0.99984414469273197</v>
      </c>
      <c r="D684" s="1">
        <v>0.98886046624321999</v>
      </c>
      <c r="E684" s="1">
        <v>1.0043564571030601</v>
      </c>
      <c r="F684" s="1">
        <v>1.0043564571030601</v>
      </c>
      <c r="G684" s="1">
        <v>1.0043564571030601</v>
      </c>
      <c r="H684">
        <v>363</v>
      </c>
      <c r="I684">
        <v>359</v>
      </c>
      <c r="J684" s="16">
        <f t="shared" si="41"/>
        <v>4.4669194240702986E-3</v>
      </c>
      <c r="K684" s="16">
        <f t="shared" si="42"/>
        <v>4.4927399813242813E-3</v>
      </c>
      <c r="L684" s="16">
        <f t="shared" si="43"/>
        <v>1.5428776058787275E-2</v>
      </c>
      <c r="M684" s="16">
        <f t="shared" si="44"/>
        <v>4.4927399813242813E-3</v>
      </c>
    </row>
    <row r="685" spans="1:13" x14ac:dyDescent="0.3">
      <c r="A685" t="s">
        <v>692</v>
      </c>
      <c r="B685" s="1">
        <v>0.98053757146826903</v>
      </c>
      <c r="C685" s="1">
        <v>0.98544842283373701</v>
      </c>
      <c r="D685" s="1">
        <v>0.98243481588387105</v>
      </c>
      <c r="E685" s="1">
        <v>1.0052879526315699</v>
      </c>
      <c r="F685" s="1">
        <v>1.0052879526315699</v>
      </c>
      <c r="G685" s="1">
        <v>1.0052879526315699</v>
      </c>
      <c r="H685">
        <v>888</v>
      </c>
      <c r="I685">
        <v>874</v>
      </c>
      <c r="J685" s="16">
        <f t="shared" si="41"/>
        <v>2.4620190760777653E-2</v>
      </c>
      <c r="K685" s="16">
        <f t="shared" si="42"/>
        <v>1.9735171147628294E-2</v>
      </c>
      <c r="L685" s="16">
        <f t="shared" si="43"/>
        <v>2.2732926111245597E-2</v>
      </c>
      <c r="M685" s="16">
        <f t="shared" si="44"/>
        <v>2.2732926111245597E-2</v>
      </c>
    </row>
    <row r="686" spans="1:13" x14ac:dyDescent="0.3">
      <c r="A686" t="s">
        <v>693</v>
      </c>
      <c r="B686" s="1">
        <v>0.97165768036260203</v>
      </c>
      <c r="C686" s="1">
        <v>0.97013016177548905</v>
      </c>
      <c r="D686" s="1">
        <v>0.97166394831974301</v>
      </c>
      <c r="E686" s="1">
        <v>0.95506412710566602</v>
      </c>
      <c r="F686" s="1">
        <v>0.95506412710566602</v>
      </c>
      <c r="G686" s="1">
        <v>0.95506412710566602</v>
      </c>
      <c r="H686">
        <v>654</v>
      </c>
      <c r="I686">
        <v>653</v>
      </c>
      <c r="J686" s="16">
        <f t="shared" si="41"/>
        <v>-1.7374281774379888E-2</v>
      </c>
      <c r="K686" s="16">
        <f t="shared" si="42"/>
        <v>-1.5774893268665473E-2</v>
      </c>
      <c r="L686" s="16">
        <f t="shared" si="43"/>
        <v>-1.7380844639598141E-2</v>
      </c>
      <c r="M686" s="16">
        <f t="shared" si="44"/>
        <v>1.7374281774379888E-2</v>
      </c>
    </row>
    <row r="687" spans="1:13" x14ac:dyDescent="0.3">
      <c r="A687" t="s">
        <v>694</v>
      </c>
      <c r="B687" s="1">
        <v>2.3274942914841499</v>
      </c>
      <c r="C687" s="1">
        <v>1.8583975589806501</v>
      </c>
      <c r="D687" s="1">
        <v>1.73064394759776</v>
      </c>
      <c r="E687" s="1">
        <v>1.00500710653409</v>
      </c>
      <c r="F687" s="1">
        <v>1.00500710653409</v>
      </c>
      <c r="G687" s="1">
        <v>1.00500710653409</v>
      </c>
      <c r="H687">
        <v>1505</v>
      </c>
      <c r="I687">
        <v>1056</v>
      </c>
      <c r="J687" s="16">
        <f t="shared" si="41"/>
        <v>-1.3158983417648111</v>
      </c>
      <c r="K687" s="16">
        <f t="shared" si="42"/>
        <v>-0.84913872439131155</v>
      </c>
      <c r="L687" s="16">
        <f t="shared" si="43"/>
        <v>-0.72202160198262866</v>
      </c>
      <c r="M687" s="16">
        <f t="shared" si="44"/>
        <v>0.84913872439131155</v>
      </c>
    </row>
    <row r="688" spans="1:13" x14ac:dyDescent="0.3">
      <c r="A688" t="s">
        <v>695</v>
      </c>
      <c r="B688" s="1">
        <v>0.96756721392190104</v>
      </c>
      <c r="C688" s="1">
        <v>0.964266609489143</v>
      </c>
      <c r="D688" s="1">
        <v>0.97766252165411505</v>
      </c>
      <c r="E688" s="1">
        <v>0.96687488498705698</v>
      </c>
      <c r="F688" s="1">
        <v>0.96687488498705698</v>
      </c>
      <c r="G688" s="1">
        <v>0.96687488498705698</v>
      </c>
      <c r="H688">
        <v>1187</v>
      </c>
      <c r="I688">
        <v>1159</v>
      </c>
      <c r="J688" s="16">
        <f t="shared" si="41"/>
        <v>-7.1604811087147351E-4</v>
      </c>
      <c r="K688" s="16">
        <f t="shared" si="42"/>
        <v>2.6976349664402511E-3</v>
      </c>
      <c r="L688" s="16">
        <f t="shared" si="43"/>
        <v>-1.1157220892341694E-2</v>
      </c>
      <c r="M688" s="16">
        <f t="shared" si="44"/>
        <v>7.1604811087147351E-4</v>
      </c>
    </row>
    <row r="689" spans="1:13" x14ac:dyDescent="0.3">
      <c r="A689" t="s">
        <v>696</v>
      </c>
      <c r="B689" s="1">
        <v>0.98974415184614695</v>
      </c>
      <c r="C689" s="1">
        <v>0.98974708973016401</v>
      </c>
      <c r="D689" s="1">
        <v>0.98974803524254296</v>
      </c>
      <c r="E689" s="1">
        <v>1.0071957425581299</v>
      </c>
      <c r="F689" s="1">
        <v>1.0071957425581299</v>
      </c>
      <c r="G689" s="1">
        <v>1.0071957425581299</v>
      </c>
      <c r="H689">
        <v>430</v>
      </c>
      <c r="I689">
        <v>430</v>
      </c>
      <c r="J689" s="16">
        <f t="shared" si="41"/>
        <v>1.7326910723091921E-2</v>
      </c>
      <c r="K689" s="16">
        <f t="shared" si="42"/>
        <v>1.7323993828298856E-2</v>
      </c>
      <c r="L689" s="16">
        <f t="shared" si="43"/>
        <v>1.732305507097593E-2</v>
      </c>
      <c r="M689" s="16">
        <f t="shared" si="44"/>
        <v>1.7323993828298856E-2</v>
      </c>
    </row>
    <row r="690" spans="1:13" x14ac:dyDescent="0.3">
      <c r="A690" t="s">
        <v>697</v>
      </c>
      <c r="B690" s="1">
        <v>0.98364869096551499</v>
      </c>
      <c r="C690" s="1">
        <v>0.98356187020012698</v>
      </c>
      <c r="D690" s="1">
        <v>0.98286892120298996</v>
      </c>
      <c r="E690" s="1">
        <v>1.0077177187453801</v>
      </c>
      <c r="F690" s="1">
        <v>1.0077177187453801</v>
      </c>
      <c r="G690" s="1">
        <v>1.0077177187453801</v>
      </c>
      <c r="H690">
        <v>1383</v>
      </c>
      <c r="I690">
        <v>1355</v>
      </c>
      <c r="J690" s="16">
        <f t="shared" si="41"/>
        <v>2.3884692441283353E-2</v>
      </c>
      <c r="K690" s="16">
        <f t="shared" si="42"/>
        <v>2.3970848280138811E-2</v>
      </c>
      <c r="L690" s="16">
        <f t="shared" si="43"/>
        <v>2.465849024995526E-2</v>
      </c>
      <c r="M690" s="16">
        <f t="shared" si="44"/>
        <v>2.3970848280138811E-2</v>
      </c>
    </row>
    <row r="691" spans="1:13" x14ac:dyDescent="0.3">
      <c r="A691" t="s">
        <v>698</v>
      </c>
      <c r="B691" s="1">
        <v>1.0049316644539901</v>
      </c>
      <c r="C691" s="1">
        <v>1.0048326129526901</v>
      </c>
      <c r="D691" s="1">
        <v>0.99622657330842701</v>
      </c>
      <c r="E691" s="1">
        <v>0.97463196864111501</v>
      </c>
      <c r="F691" s="1">
        <v>0.97463196864111501</v>
      </c>
      <c r="G691" s="1">
        <v>0.97463196864111501</v>
      </c>
      <c r="H691">
        <v>579</v>
      </c>
      <c r="I691">
        <v>574</v>
      </c>
      <c r="J691" s="16">
        <f t="shared" si="41"/>
        <v>-3.1088345947774057E-2</v>
      </c>
      <c r="K691" s="16">
        <f t="shared" si="42"/>
        <v>-3.098671630244438E-2</v>
      </c>
      <c r="L691" s="16">
        <f t="shared" si="43"/>
        <v>-2.2156675916777464E-2</v>
      </c>
      <c r="M691" s="16">
        <f t="shared" si="44"/>
        <v>3.098671630244438E-2</v>
      </c>
    </row>
    <row r="692" spans="1:13" x14ac:dyDescent="0.3">
      <c r="A692" t="s">
        <v>699</v>
      </c>
      <c r="B692" s="1">
        <v>0.97039130862719702</v>
      </c>
      <c r="C692" s="1">
        <v>0.95832494073962904</v>
      </c>
      <c r="D692" s="1">
        <v>0.94834003068959505</v>
      </c>
      <c r="E692" s="1">
        <v>1.0056633736681799</v>
      </c>
      <c r="F692" s="1">
        <v>1.0056633736681799</v>
      </c>
      <c r="G692" s="1">
        <v>1.0056633736681799</v>
      </c>
      <c r="H692">
        <v>724</v>
      </c>
      <c r="I692">
        <v>657</v>
      </c>
      <c r="J692" s="16">
        <f t="shared" si="41"/>
        <v>3.5073431094867505E-2</v>
      </c>
      <c r="K692" s="16">
        <f t="shared" si="42"/>
        <v>4.707184746709317E-2</v>
      </c>
      <c r="L692" s="16">
        <f t="shared" si="43"/>
        <v>5.7000527690987381E-2</v>
      </c>
      <c r="M692" s="16">
        <f t="shared" si="44"/>
        <v>4.707184746709317E-2</v>
      </c>
    </row>
    <row r="693" spans="1:13" x14ac:dyDescent="0.3">
      <c r="A693" t="s">
        <v>700</v>
      </c>
      <c r="B693" s="1">
        <v>0.99177296491681899</v>
      </c>
      <c r="C693" s="1">
        <v>0.97359973390189902</v>
      </c>
      <c r="D693" s="1">
        <v>0.95514234930540198</v>
      </c>
      <c r="E693" s="1">
        <v>1.0053252969298201</v>
      </c>
      <c r="F693" s="1">
        <v>1.0053252969298201</v>
      </c>
      <c r="G693" s="1">
        <v>1.0053252969298201</v>
      </c>
      <c r="H693">
        <v>492</v>
      </c>
      <c r="I693">
        <v>456</v>
      </c>
      <c r="J693" s="16">
        <f t="shared" si="41"/>
        <v>1.3480544112824771E-2</v>
      </c>
      <c r="K693" s="16">
        <f t="shared" si="42"/>
        <v>3.1557509917245992E-2</v>
      </c>
      <c r="L693" s="16">
        <f t="shared" si="43"/>
        <v>4.9917124116614447E-2</v>
      </c>
      <c r="M693" s="16">
        <f t="shared" si="44"/>
        <v>3.1557509917245992E-2</v>
      </c>
    </row>
    <row r="694" spans="1:13" x14ac:dyDescent="0.3">
      <c r="A694" t="s">
        <v>701</v>
      </c>
      <c r="B694" s="1">
        <v>1.01548814324169</v>
      </c>
      <c r="C694" s="1">
        <v>1.0998037581840501</v>
      </c>
      <c r="D694" s="1">
        <v>1.2844632645120699</v>
      </c>
      <c r="E694" s="1">
        <v>0.96770039322444001</v>
      </c>
      <c r="F694" s="1">
        <v>0.96770039322444001</v>
      </c>
      <c r="G694" s="1">
        <v>0.96770039322444001</v>
      </c>
      <c r="H694">
        <v>1906</v>
      </c>
      <c r="I694">
        <v>1653</v>
      </c>
      <c r="J694" s="16">
        <f t="shared" si="41"/>
        <v>-4.9382794873130242E-2</v>
      </c>
      <c r="K694" s="16">
        <f t="shared" si="42"/>
        <v>-0.13651267053786467</v>
      </c>
      <c r="L694" s="16">
        <f t="shared" si="43"/>
        <v>-0.32733568520330519</v>
      </c>
      <c r="M694" s="16">
        <f t="shared" si="44"/>
        <v>0.13651267053786467</v>
      </c>
    </row>
    <row r="695" spans="1:13" x14ac:dyDescent="0.3">
      <c r="A695" t="s">
        <v>702</v>
      </c>
      <c r="B695" s="1">
        <v>0.93087076821672399</v>
      </c>
      <c r="C695" s="1">
        <v>0.91510807347075895</v>
      </c>
      <c r="D695" s="1">
        <v>0.92021469258118105</v>
      </c>
      <c r="E695" s="1">
        <v>1.0055503612299399</v>
      </c>
      <c r="F695" s="1">
        <v>1.0055503612299399</v>
      </c>
      <c r="G695" s="1">
        <v>1.0055503612299399</v>
      </c>
      <c r="H695">
        <v>959</v>
      </c>
      <c r="I695">
        <v>748</v>
      </c>
      <c r="J695" s="16">
        <f t="shared" si="41"/>
        <v>7.4267382214324398E-2</v>
      </c>
      <c r="K695" s="16">
        <f t="shared" si="42"/>
        <v>8.9943071223758872E-2</v>
      </c>
      <c r="L695" s="16">
        <f t="shared" si="43"/>
        <v>8.4864639245298912E-2</v>
      </c>
      <c r="M695" s="16">
        <f t="shared" si="44"/>
        <v>8.4864639245298912E-2</v>
      </c>
    </row>
    <row r="696" spans="1:13" x14ac:dyDescent="0.3">
      <c r="A696" t="s">
        <v>703</v>
      </c>
      <c r="B696" s="1">
        <v>0.99871243831479095</v>
      </c>
      <c r="C696" s="1">
        <v>0.99871911698172</v>
      </c>
      <c r="D696" s="1">
        <v>0.998722004693537</v>
      </c>
      <c r="E696" s="1">
        <v>0.963472682119205</v>
      </c>
      <c r="F696" s="1">
        <v>0.963472682119205</v>
      </c>
      <c r="G696" s="1">
        <v>0.963472682119205</v>
      </c>
      <c r="H696">
        <v>453</v>
      </c>
      <c r="I696">
        <v>453</v>
      </c>
      <c r="J696" s="16">
        <f t="shared" si="41"/>
        <v>-3.6575771010003512E-2</v>
      </c>
      <c r="K696" s="16">
        <f t="shared" si="42"/>
        <v>-3.6582702879534426E-2</v>
      </c>
      <c r="L696" s="16">
        <f t="shared" si="43"/>
        <v>-3.6585700070706106E-2</v>
      </c>
      <c r="M696" s="16">
        <f t="shared" si="44"/>
        <v>3.6582702879534426E-2</v>
      </c>
    </row>
    <row r="697" spans="1:13" x14ac:dyDescent="0.3">
      <c r="A697" t="s">
        <v>704</v>
      </c>
      <c r="B697" s="1">
        <v>0.997636824212776</v>
      </c>
      <c r="C697" s="1">
        <v>1.0005447378332899</v>
      </c>
      <c r="D697" s="1">
        <v>1.00054473783486</v>
      </c>
      <c r="E697" s="1">
        <v>1.0109621084548099</v>
      </c>
      <c r="F697" s="1">
        <v>1.0109621084548099</v>
      </c>
      <c r="G697" s="1">
        <v>1.0109621084548099</v>
      </c>
      <c r="H697">
        <v>344</v>
      </c>
      <c r="I697">
        <v>343</v>
      </c>
      <c r="J697" s="16">
        <f t="shared" si="41"/>
        <v>1.3180794938398606E-2</v>
      </c>
      <c r="K697" s="16">
        <f t="shared" si="42"/>
        <v>1.0304412533761839E-2</v>
      </c>
      <c r="L697" s="16">
        <f t="shared" si="43"/>
        <v>1.0304412532208786E-2</v>
      </c>
      <c r="M697" s="16">
        <f t="shared" si="44"/>
        <v>1.0304412533761839E-2</v>
      </c>
    </row>
    <row r="698" spans="1:13" x14ac:dyDescent="0.3">
      <c r="A698" t="s">
        <v>705</v>
      </c>
      <c r="B698" s="1">
        <v>0.99709258650592003</v>
      </c>
      <c r="C698" s="1">
        <v>0.95574473566923202</v>
      </c>
      <c r="D698" s="1">
        <v>0.98055454070055803</v>
      </c>
      <c r="E698" s="1">
        <v>0.96599389097744304</v>
      </c>
      <c r="F698" s="1">
        <v>0.96599389097744304</v>
      </c>
      <c r="G698" s="1">
        <v>0.96599389097744304</v>
      </c>
      <c r="H698">
        <v>847</v>
      </c>
      <c r="I698">
        <v>798</v>
      </c>
      <c r="J698" s="16">
        <f t="shared" si="41"/>
        <v>-3.2193470185416712E-2</v>
      </c>
      <c r="K698" s="16">
        <f t="shared" si="42"/>
        <v>1.0609958721209295E-2</v>
      </c>
      <c r="L698" s="16">
        <f t="shared" si="43"/>
        <v>-1.5073231683051089E-2</v>
      </c>
      <c r="M698" s="16">
        <f t="shared" si="44"/>
        <v>1.5073231683051089E-2</v>
      </c>
    </row>
    <row r="699" spans="1:13" x14ac:dyDescent="0.3">
      <c r="A699" t="s">
        <v>706</v>
      </c>
      <c r="B699" s="1">
        <v>0.99608889093281805</v>
      </c>
      <c r="C699" s="1">
        <v>0.96659649547911597</v>
      </c>
      <c r="D699" s="1">
        <v>0.99612421727072398</v>
      </c>
      <c r="E699" s="1">
        <v>1.00487889688581</v>
      </c>
      <c r="F699" s="1">
        <v>1.00487889688581</v>
      </c>
      <c r="G699" s="1">
        <v>1.00487889688581</v>
      </c>
      <c r="H699">
        <v>298</v>
      </c>
      <c r="I699">
        <v>289</v>
      </c>
      <c r="J699" s="16">
        <f t="shared" si="41"/>
        <v>8.7473286385382314E-3</v>
      </c>
      <c r="K699" s="16">
        <f t="shared" si="42"/>
        <v>3.8096532353633729E-2</v>
      </c>
      <c r="L699" s="16">
        <f t="shared" si="43"/>
        <v>8.7121738173797751E-3</v>
      </c>
      <c r="M699" s="16">
        <f t="shared" si="44"/>
        <v>8.7473286385382314E-3</v>
      </c>
    </row>
    <row r="700" spans="1:13" x14ac:dyDescent="0.3">
      <c r="A700" t="s">
        <v>707</v>
      </c>
      <c r="B700" s="1">
        <v>1.0014559685886999</v>
      </c>
      <c r="C700" s="1">
        <v>0.99753424899395904</v>
      </c>
      <c r="D700" s="1">
        <v>1.09209603887725</v>
      </c>
      <c r="E700" s="1">
        <v>0.91576973226703695</v>
      </c>
      <c r="F700" s="1">
        <v>0.91576973226703695</v>
      </c>
      <c r="G700" s="1">
        <v>0.91576973226703695</v>
      </c>
      <c r="H700">
        <v>1472</v>
      </c>
      <c r="I700">
        <v>1438</v>
      </c>
      <c r="J700" s="16">
        <f t="shared" si="41"/>
        <v>-9.3567447473440826E-2</v>
      </c>
      <c r="K700" s="16">
        <f t="shared" si="42"/>
        <v>-8.9285017669790911E-2</v>
      </c>
      <c r="L700" s="16">
        <f t="shared" si="43"/>
        <v>-0.19254437048679027</v>
      </c>
      <c r="M700" s="16">
        <f t="shared" si="44"/>
        <v>9.3567447473440826E-2</v>
      </c>
    </row>
    <row r="701" spans="1:13" x14ac:dyDescent="0.3">
      <c r="A701" t="s">
        <v>708</v>
      </c>
      <c r="B701" s="1">
        <v>0.996575747650296</v>
      </c>
      <c r="C701" s="1">
        <v>0.99657574765054202</v>
      </c>
      <c r="D701" s="1">
        <v>0.99657574765030599</v>
      </c>
      <c r="E701" s="1">
        <v>0.957713541666666</v>
      </c>
      <c r="F701" s="1">
        <v>0.957713541666666</v>
      </c>
      <c r="G701" s="1">
        <v>0.957713541666666</v>
      </c>
      <c r="H701">
        <v>120</v>
      </c>
      <c r="I701">
        <v>120</v>
      </c>
      <c r="J701" s="16">
        <f t="shared" si="41"/>
        <v>-4.0578110565294749E-2</v>
      </c>
      <c r="K701" s="16">
        <f t="shared" si="42"/>
        <v>-4.0578110565551641E-2</v>
      </c>
      <c r="L701" s="16">
        <f t="shared" si="43"/>
        <v>-4.0578110565305185E-2</v>
      </c>
      <c r="M701" s="16">
        <f t="shared" si="44"/>
        <v>4.0578110565305185E-2</v>
      </c>
    </row>
    <row r="702" spans="1:13" x14ac:dyDescent="0.3">
      <c r="A702" t="s">
        <v>709</v>
      </c>
      <c r="B702" s="1">
        <v>0.96682187620486904</v>
      </c>
      <c r="C702" s="1">
        <v>0.96381452070824603</v>
      </c>
      <c r="D702" s="1">
        <v>0.97280706023520702</v>
      </c>
      <c r="E702" s="1">
        <v>0.95348525145067697</v>
      </c>
      <c r="F702" s="1">
        <v>0.95348525145067697</v>
      </c>
      <c r="G702" s="1">
        <v>0.95348525145067697</v>
      </c>
      <c r="H702">
        <v>1111</v>
      </c>
      <c r="I702">
        <v>1034</v>
      </c>
      <c r="J702" s="16">
        <f t="shared" si="41"/>
        <v>-1.3987237593765712E-2</v>
      </c>
      <c r="K702" s="16">
        <f t="shared" si="42"/>
        <v>-1.0833171506170252E-2</v>
      </c>
      <c r="L702" s="16">
        <f t="shared" si="43"/>
        <v>-2.0264402365042296E-2</v>
      </c>
      <c r="M702" s="16">
        <f t="shared" si="44"/>
        <v>1.3987237593765712E-2</v>
      </c>
    </row>
    <row r="703" spans="1:13" x14ac:dyDescent="0.3">
      <c r="A703" t="s">
        <v>710</v>
      </c>
      <c r="B703" s="1">
        <v>0.97523887110282503</v>
      </c>
      <c r="C703" s="1">
        <v>0.97259390490663999</v>
      </c>
      <c r="D703" s="1">
        <v>0.97790125784135995</v>
      </c>
      <c r="E703" s="1">
        <v>1.00658173195592</v>
      </c>
      <c r="F703" s="1">
        <v>1.00658173195592</v>
      </c>
      <c r="G703" s="1">
        <v>1.00658173195592</v>
      </c>
      <c r="H703">
        <v>753</v>
      </c>
      <c r="I703">
        <v>726</v>
      </c>
      <c r="J703" s="16">
        <f t="shared" si="41"/>
        <v>3.1137919413848025E-2</v>
      </c>
      <c r="K703" s="16">
        <f t="shared" si="42"/>
        <v>3.3765590980115695E-2</v>
      </c>
      <c r="L703" s="16">
        <f t="shared" si="43"/>
        <v>2.8492941212861254E-2</v>
      </c>
      <c r="M703" s="16">
        <f t="shared" si="44"/>
        <v>3.1137919413848025E-2</v>
      </c>
    </row>
    <row r="704" spans="1:13" x14ac:dyDescent="0.3">
      <c r="A704" t="s">
        <v>711</v>
      </c>
      <c r="B704" s="1">
        <v>1.0019665685482599</v>
      </c>
      <c r="C704" s="1">
        <v>0.966497098200511</v>
      </c>
      <c r="D704" s="1">
        <v>0.96861872005884198</v>
      </c>
      <c r="E704" s="1">
        <v>1.0028786216035599</v>
      </c>
      <c r="F704" s="1">
        <v>1.0028786216035599</v>
      </c>
      <c r="G704" s="1">
        <v>1.0028786216035599</v>
      </c>
      <c r="H704">
        <v>482</v>
      </c>
      <c r="I704">
        <v>449</v>
      </c>
      <c r="J704" s="16">
        <f t="shared" si="41"/>
        <v>9.0943513567137506E-4</v>
      </c>
      <c r="K704" s="16">
        <f t="shared" si="42"/>
        <v>3.6277095372594943E-2</v>
      </c>
      <c r="L704" s="16">
        <f t="shared" si="43"/>
        <v>3.4161563330503353E-2</v>
      </c>
      <c r="M704" s="16">
        <f t="shared" si="44"/>
        <v>3.4161563330503353E-2</v>
      </c>
    </row>
    <row r="705" spans="1:13" x14ac:dyDescent="0.3">
      <c r="A705" t="s">
        <v>712</v>
      </c>
      <c r="B705" s="1">
        <v>0.99738979801738603</v>
      </c>
      <c r="C705" s="1">
        <v>0.99094849599177703</v>
      </c>
      <c r="D705" s="1">
        <v>0.99732709873325098</v>
      </c>
      <c r="E705" s="1">
        <v>1.0026446967845599</v>
      </c>
      <c r="F705" s="1">
        <v>1.0026446967845599</v>
      </c>
      <c r="G705" s="1">
        <v>1.0026446967845599</v>
      </c>
      <c r="H705">
        <v>313</v>
      </c>
      <c r="I705">
        <v>311</v>
      </c>
      <c r="J705" s="16">
        <f t="shared" si="41"/>
        <v>5.241037811326516E-3</v>
      </c>
      <c r="K705" s="16">
        <f t="shared" si="42"/>
        <v>1.1665349480520983E-2</v>
      </c>
      <c r="L705" s="16">
        <f t="shared" si="43"/>
        <v>5.3035717122548523E-3</v>
      </c>
      <c r="M705" s="16">
        <f t="shared" si="44"/>
        <v>5.3035717122548523E-3</v>
      </c>
    </row>
    <row r="706" spans="1:13" x14ac:dyDescent="0.3">
      <c r="A706" t="s">
        <v>713</v>
      </c>
      <c r="B706" s="1">
        <v>0.97105433626072302</v>
      </c>
      <c r="C706" s="1">
        <v>0.97822719900901101</v>
      </c>
      <c r="D706" s="1">
        <v>1.0917115238591899</v>
      </c>
      <c r="E706" s="1">
        <v>0.96752220812182699</v>
      </c>
      <c r="F706" s="1">
        <v>0.96752220812182699</v>
      </c>
      <c r="G706" s="1">
        <v>0.96752220812182699</v>
      </c>
      <c r="H706">
        <v>417</v>
      </c>
      <c r="I706">
        <v>394</v>
      </c>
      <c r="J706" s="16">
        <f t="shared" si="41"/>
        <v>-3.6506946396121132E-3</v>
      </c>
      <c r="K706" s="16">
        <f t="shared" si="42"/>
        <v>-1.1064336092051836E-2</v>
      </c>
      <c r="L706" s="16">
        <f t="shared" si="43"/>
        <v>-0.12835810350900539</v>
      </c>
      <c r="M706" s="16">
        <f t="shared" si="44"/>
        <v>1.1064336092051836E-2</v>
      </c>
    </row>
    <row r="707" spans="1:13" x14ac:dyDescent="0.3">
      <c r="A707" t="s">
        <v>714</v>
      </c>
      <c r="B707" s="1">
        <v>0.98370045799158401</v>
      </c>
      <c r="C707" s="1">
        <v>0.982294058998047</v>
      </c>
      <c r="D707" s="1">
        <v>0.98363274161721104</v>
      </c>
      <c r="E707" s="1">
        <v>1.02388879733155</v>
      </c>
      <c r="F707" s="1">
        <v>1.02388879733155</v>
      </c>
      <c r="G707" s="1">
        <v>1.02388879733155</v>
      </c>
      <c r="H707">
        <v>1513</v>
      </c>
      <c r="I707">
        <v>1499</v>
      </c>
      <c r="J707" s="16">
        <f t="shared" ref="J707:J770" si="45">(E707-B707)/E707</f>
        <v>3.9250687618327805E-2</v>
      </c>
      <c r="K707" s="16">
        <f t="shared" ref="K707:K770" si="46">(F707-C707)/F707</f>
        <v>4.0624273301853545E-2</v>
      </c>
      <c r="L707" s="16">
        <f t="shared" ref="L707:L770" si="47">(G707-D707)/G707</f>
        <v>3.931682407235431E-2</v>
      </c>
      <c r="M707" s="16">
        <f t="shared" ref="M707:M770" si="48">ABS(MEDIAN(J707:L707))</f>
        <v>3.931682407235431E-2</v>
      </c>
    </row>
    <row r="708" spans="1:13" x14ac:dyDescent="0.3">
      <c r="A708" t="s">
        <v>715</v>
      </c>
      <c r="B708" s="1">
        <v>0.99557292986521095</v>
      </c>
      <c r="C708" s="1">
        <v>0.99062222764752095</v>
      </c>
      <c r="D708" s="1">
        <v>1.00399109237857</v>
      </c>
      <c r="E708" s="1">
        <v>0.99158795493934104</v>
      </c>
      <c r="F708" s="1">
        <v>0.99158795493934104</v>
      </c>
      <c r="G708" s="1">
        <v>0.99158795493934104</v>
      </c>
      <c r="H708">
        <v>590</v>
      </c>
      <c r="I708">
        <v>577</v>
      </c>
      <c r="J708" s="16">
        <f t="shared" si="45"/>
        <v>-4.0187810935175044E-3</v>
      </c>
      <c r="K708" s="16">
        <f t="shared" si="46"/>
        <v>9.7391995032772695E-4</v>
      </c>
      <c r="L708" s="16">
        <f t="shared" si="47"/>
        <v>-1.2508358312992702E-2</v>
      </c>
      <c r="M708" s="16">
        <f t="shared" si="48"/>
        <v>4.0187810935175044E-3</v>
      </c>
    </row>
    <row r="709" spans="1:13" x14ac:dyDescent="0.3">
      <c r="A709" t="s">
        <v>716</v>
      </c>
      <c r="B709" s="1">
        <v>0.98676244797702894</v>
      </c>
      <c r="C709" s="1">
        <v>0.95632231707702997</v>
      </c>
      <c r="D709" s="1">
        <v>0.95724259145614699</v>
      </c>
      <c r="E709" s="1">
        <v>1.0209949938401</v>
      </c>
      <c r="F709" s="1">
        <v>1.0209949938401</v>
      </c>
      <c r="G709" s="1">
        <v>1.0209949938401</v>
      </c>
      <c r="H709">
        <v>814</v>
      </c>
      <c r="I709">
        <v>763</v>
      </c>
      <c r="J709" s="16">
        <f t="shared" si="45"/>
        <v>3.3528612842965842E-2</v>
      </c>
      <c r="K709" s="16">
        <f t="shared" si="46"/>
        <v>6.3342795168688654E-2</v>
      </c>
      <c r="L709" s="16">
        <f t="shared" si="47"/>
        <v>6.244144463840276E-2</v>
      </c>
      <c r="M709" s="16">
        <f t="shared" si="48"/>
        <v>6.244144463840276E-2</v>
      </c>
    </row>
    <row r="710" spans="1:13" x14ac:dyDescent="0.3">
      <c r="A710" t="s">
        <v>717</v>
      </c>
      <c r="B710" s="1">
        <v>0.91204171704264303</v>
      </c>
      <c r="C710" s="1">
        <v>0.90405977684950301</v>
      </c>
      <c r="D710" s="1">
        <v>0.91837217338279298</v>
      </c>
      <c r="E710" s="1">
        <v>1.00517000439999</v>
      </c>
      <c r="F710" s="1">
        <v>1.00517000439999</v>
      </c>
      <c r="G710" s="1">
        <v>1.00517000439999</v>
      </c>
      <c r="H710">
        <v>1751</v>
      </c>
      <c r="I710">
        <v>1250</v>
      </c>
      <c r="J710" s="16">
        <f t="shared" si="45"/>
        <v>9.264929011977184E-2</v>
      </c>
      <c r="K710" s="16">
        <f t="shared" si="46"/>
        <v>0.10059017589849605</v>
      </c>
      <c r="L710" s="16">
        <f t="shared" si="47"/>
        <v>8.6351393930630432E-2</v>
      </c>
      <c r="M710" s="16">
        <f t="shared" si="48"/>
        <v>9.264929011977184E-2</v>
      </c>
    </row>
    <row r="711" spans="1:13" x14ac:dyDescent="0.3">
      <c r="A711" t="s">
        <v>718</v>
      </c>
      <c r="B711" s="1">
        <v>0.99922497077630901</v>
      </c>
      <c r="C711" s="1">
        <v>0.99922274587950499</v>
      </c>
      <c r="D711" s="1">
        <v>0.99922548667577504</v>
      </c>
      <c r="E711" s="1">
        <v>1.0148563344827499</v>
      </c>
      <c r="F711" s="1">
        <v>1.0148563344827499</v>
      </c>
      <c r="G711" s="1">
        <v>1.0148563344827499</v>
      </c>
      <c r="H711">
        <v>551</v>
      </c>
      <c r="I711">
        <v>551</v>
      </c>
      <c r="J711" s="16">
        <f t="shared" si="45"/>
        <v>1.540253844344173E-2</v>
      </c>
      <c r="K711" s="16">
        <f t="shared" si="46"/>
        <v>1.5404730770304575E-2</v>
      </c>
      <c r="L711" s="16">
        <f t="shared" si="47"/>
        <v>1.5402030096153048E-2</v>
      </c>
      <c r="M711" s="16">
        <f t="shared" si="48"/>
        <v>1.540253844344173E-2</v>
      </c>
    </row>
    <row r="712" spans="1:13" x14ac:dyDescent="0.3">
      <c r="A712" t="s">
        <v>719</v>
      </c>
      <c r="B712" s="1">
        <v>0.99408645486290903</v>
      </c>
      <c r="C712" s="1">
        <v>1.11542979367689</v>
      </c>
      <c r="D712" s="1">
        <v>0.97840391334116505</v>
      </c>
      <c r="E712" s="1">
        <v>1.00547415554553</v>
      </c>
      <c r="F712" s="1">
        <v>1.00547415554553</v>
      </c>
      <c r="G712" s="1">
        <v>1.00547415554553</v>
      </c>
      <c r="H712">
        <v>1141</v>
      </c>
      <c r="I712">
        <v>1109</v>
      </c>
      <c r="J712" s="16">
        <f t="shared" si="45"/>
        <v>1.1325702028057051E-2</v>
      </c>
      <c r="K712" s="16">
        <f t="shared" si="46"/>
        <v>-0.10935700089844923</v>
      </c>
      <c r="L712" s="16">
        <f t="shared" si="47"/>
        <v>2.6922862268575872E-2</v>
      </c>
      <c r="M712" s="16">
        <f t="shared" si="48"/>
        <v>1.1325702028057051E-2</v>
      </c>
    </row>
    <row r="713" spans="1:13" x14ac:dyDescent="0.3">
      <c r="A713" t="s">
        <v>720</v>
      </c>
      <c r="B713" s="1">
        <v>0.96734117035049505</v>
      </c>
      <c r="C713" s="1">
        <v>0.99087666440200095</v>
      </c>
      <c r="D713" s="1">
        <v>0.96215075429263797</v>
      </c>
      <c r="E713" s="1">
        <v>0.96830801104972297</v>
      </c>
      <c r="F713" s="1">
        <v>0.96830801104972297</v>
      </c>
      <c r="G713" s="1">
        <v>0.96830801104972297</v>
      </c>
      <c r="H713">
        <v>382</v>
      </c>
      <c r="I713">
        <v>362</v>
      </c>
      <c r="J713" s="16">
        <f t="shared" si="45"/>
        <v>9.9848466417187831E-4</v>
      </c>
      <c r="K713" s="16">
        <f t="shared" si="46"/>
        <v>-2.3307308309689353E-2</v>
      </c>
      <c r="L713" s="16">
        <f t="shared" si="47"/>
        <v>6.3587791145196136E-3</v>
      </c>
      <c r="M713" s="16">
        <f t="shared" si="48"/>
        <v>9.9848466417187831E-4</v>
      </c>
    </row>
    <row r="714" spans="1:13" x14ac:dyDescent="0.3">
      <c r="A714" t="s">
        <v>721</v>
      </c>
      <c r="B714" s="1">
        <v>1.0001519143618101</v>
      </c>
      <c r="C714" s="1">
        <v>1.0001308025699001</v>
      </c>
      <c r="D714" s="1">
        <v>1.00001613888556</v>
      </c>
      <c r="E714" s="1">
        <v>0.98411499999999996</v>
      </c>
      <c r="F714" s="1">
        <v>0.98411499999999996</v>
      </c>
      <c r="G714" s="1">
        <v>0.98411499999999996</v>
      </c>
      <c r="H714">
        <v>250</v>
      </c>
      <c r="I714">
        <v>250</v>
      </c>
      <c r="J714" s="16">
        <f t="shared" si="45"/>
        <v>-1.6295772711329565E-2</v>
      </c>
      <c r="K714" s="16">
        <f t="shared" si="46"/>
        <v>-1.6274320145409932E-2</v>
      </c>
      <c r="L714" s="16">
        <f t="shared" si="47"/>
        <v>-1.6157805627960143E-2</v>
      </c>
      <c r="M714" s="16">
        <f t="shared" si="48"/>
        <v>1.6274320145409932E-2</v>
      </c>
    </row>
    <row r="715" spans="1:13" x14ac:dyDescent="0.3">
      <c r="A715" t="s">
        <v>722</v>
      </c>
      <c r="B715" s="1">
        <v>0.99559275279107096</v>
      </c>
      <c r="C715" s="1">
        <v>0.99559275279520698</v>
      </c>
      <c r="D715" s="1">
        <v>0.99559275277009196</v>
      </c>
      <c r="E715" s="1">
        <v>0.95053834808259596</v>
      </c>
      <c r="F715" s="1">
        <v>0.95053834808259596</v>
      </c>
      <c r="G715" s="1">
        <v>0.95053834808259596</v>
      </c>
      <c r="H715">
        <v>339</v>
      </c>
      <c r="I715">
        <v>339</v>
      </c>
      <c r="J715" s="16">
        <f t="shared" si="45"/>
        <v>-4.7398829094436538E-2</v>
      </c>
      <c r="K715" s="16">
        <f t="shared" si="46"/>
        <v>-4.739882909878778E-2</v>
      </c>
      <c r="L715" s="16">
        <f t="shared" si="47"/>
        <v>-4.7398829072365888E-2</v>
      </c>
      <c r="M715" s="16">
        <f t="shared" si="48"/>
        <v>4.7398829094436538E-2</v>
      </c>
    </row>
    <row r="716" spans="1:13" x14ac:dyDescent="0.3">
      <c r="A716" t="s">
        <v>723</v>
      </c>
      <c r="B716" s="1">
        <v>1.0049579815758001</v>
      </c>
      <c r="C716" s="1">
        <v>1.0122947466424099</v>
      </c>
      <c r="D716" s="1">
        <v>0.96380417156445297</v>
      </c>
      <c r="E716" s="1">
        <v>0.97432989338842901</v>
      </c>
      <c r="F716" s="1">
        <v>0.97432989338842901</v>
      </c>
      <c r="G716" s="1">
        <v>0.97432989338842901</v>
      </c>
      <c r="H716">
        <v>817</v>
      </c>
      <c r="I716">
        <v>726</v>
      </c>
      <c r="J716" s="16">
        <f t="shared" si="45"/>
        <v>-3.1435028726108052E-2</v>
      </c>
      <c r="K716" s="16">
        <f t="shared" si="46"/>
        <v>-3.8965091301828444E-2</v>
      </c>
      <c r="L716" s="16">
        <f t="shared" si="47"/>
        <v>1.0803036933795307E-2</v>
      </c>
      <c r="M716" s="16">
        <f t="shared" si="48"/>
        <v>3.1435028726108052E-2</v>
      </c>
    </row>
    <row r="717" spans="1:13" x14ac:dyDescent="0.3">
      <c r="A717" t="s">
        <v>724</v>
      </c>
      <c r="B717" s="1">
        <v>0.99476159648712204</v>
      </c>
      <c r="C717" s="1">
        <v>0.99476198682461403</v>
      </c>
      <c r="D717" s="1">
        <v>0.99473521587417602</v>
      </c>
      <c r="E717" s="1">
        <v>1.0033333361702099</v>
      </c>
      <c r="F717" s="1">
        <v>1.0033333361702099</v>
      </c>
      <c r="G717" s="1">
        <v>1.0033333361702099</v>
      </c>
      <c r="H717">
        <v>141</v>
      </c>
      <c r="I717">
        <v>141</v>
      </c>
      <c r="J717" s="16">
        <f t="shared" si="45"/>
        <v>8.5432621184568496E-3</v>
      </c>
      <c r="K717" s="16">
        <f t="shared" si="46"/>
        <v>8.5428730777682531E-3</v>
      </c>
      <c r="L717" s="16">
        <f t="shared" si="47"/>
        <v>8.5695550880961497E-3</v>
      </c>
      <c r="M717" s="16">
        <f t="shared" si="48"/>
        <v>8.5432621184568496E-3</v>
      </c>
    </row>
    <row r="718" spans="1:13" x14ac:dyDescent="0.3">
      <c r="A718" t="s">
        <v>725</v>
      </c>
      <c r="B718" s="1">
        <v>0.97851100427290005</v>
      </c>
      <c r="C718" s="1">
        <v>0.96607419004283202</v>
      </c>
      <c r="D718" s="1">
        <v>0.96611969644183904</v>
      </c>
      <c r="E718" s="1">
        <v>1.0078070536241599</v>
      </c>
      <c r="F718" s="1">
        <v>1.0078070536241599</v>
      </c>
      <c r="G718" s="1">
        <v>1.0078070536241599</v>
      </c>
      <c r="H718">
        <v>1528</v>
      </c>
      <c r="I718">
        <v>1490</v>
      </c>
      <c r="J718" s="16">
        <f t="shared" si="45"/>
        <v>2.9069105287474185E-2</v>
      </c>
      <c r="K718" s="16">
        <f t="shared" si="46"/>
        <v>4.1409576794737599E-2</v>
      </c>
      <c r="L718" s="16">
        <f t="shared" si="47"/>
        <v>4.1364422914494971E-2</v>
      </c>
      <c r="M718" s="16">
        <f t="shared" si="48"/>
        <v>4.1364422914494971E-2</v>
      </c>
    </row>
    <row r="719" spans="1:13" x14ac:dyDescent="0.3">
      <c r="A719" t="s">
        <v>726</v>
      </c>
      <c r="B719" s="1">
        <v>0.96810008091131206</v>
      </c>
      <c r="C719" s="1">
        <v>1.1722589759448701</v>
      </c>
      <c r="D719" s="1">
        <v>1.1984832580742899</v>
      </c>
      <c r="E719" s="1">
        <v>0.95857831027667895</v>
      </c>
      <c r="F719" s="1">
        <v>0.95857831027667895</v>
      </c>
      <c r="G719" s="1">
        <v>0.95857831027667895</v>
      </c>
      <c r="H719">
        <v>1613</v>
      </c>
      <c r="I719">
        <v>1518</v>
      </c>
      <c r="J719" s="16">
        <f t="shared" si="45"/>
        <v>-9.9332214515523466E-3</v>
      </c>
      <c r="K719" s="16">
        <f t="shared" si="46"/>
        <v>-0.22291414626992284</v>
      </c>
      <c r="L719" s="16">
        <f t="shared" si="47"/>
        <v>-0.25027162123913077</v>
      </c>
      <c r="M719" s="16">
        <f t="shared" si="48"/>
        <v>0.22291414626992284</v>
      </c>
    </row>
    <row r="720" spans="1:13" x14ac:dyDescent="0.3">
      <c r="A720" t="s">
        <v>727</v>
      </c>
      <c r="B720" s="1">
        <v>0.96084292320883002</v>
      </c>
      <c r="C720" s="1">
        <v>0.964274887859215</v>
      </c>
      <c r="D720" s="1">
        <v>0.99117653899947999</v>
      </c>
      <c r="E720" s="1">
        <v>0.81659383786316697</v>
      </c>
      <c r="F720" s="1">
        <v>0.81659383786316697</v>
      </c>
      <c r="G720" s="1">
        <v>0.81659383786316697</v>
      </c>
      <c r="H720">
        <v>1161</v>
      </c>
      <c r="I720">
        <v>1067</v>
      </c>
      <c r="J720" s="16">
        <f t="shared" si="45"/>
        <v>-0.17664728615039371</v>
      </c>
      <c r="K720" s="16">
        <f t="shared" si="46"/>
        <v>-0.18085006664083386</v>
      </c>
      <c r="L720" s="16">
        <f t="shared" si="47"/>
        <v>-0.21379380181603461</v>
      </c>
      <c r="M720" s="16">
        <f t="shared" si="48"/>
        <v>0.18085006664083386</v>
      </c>
    </row>
    <row r="721" spans="1:13" x14ac:dyDescent="0.3">
      <c r="A721" t="s">
        <v>728</v>
      </c>
      <c r="B721" s="1">
        <v>1.0409273930863101</v>
      </c>
      <c r="C721" s="1">
        <v>0.98183991906428703</v>
      </c>
      <c r="D721" s="1">
        <v>0.98183449797685596</v>
      </c>
      <c r="E721" s="1">
        <v>1.0032434923437401</v>
      </c>
      <c r="F721" s="1">
        <v>1.0032434923437401</v>
      </c>
      <c r="G721" s="1">
        <v>1.0032434923437401</v>
      </c>
      <c r="H721">
        <v>700</v>
      </c>
      <c r="I721">
        <v>640</v>
      </c>
      <c r="J721" s="16">
        <f t="shared" si="45"/>
        <v>-3.7562068461101376E-2</v>
      </c>
      <c r="K721" s="16">
        <f t="shared" si="46"/>
        <v>2.133437539619704E-2</v>
      </c>
      <c r="L721" s="16">
        <f t="shared" si="47"/>
        <v>2.1339778957219301E-2</v>
      </c>
      <c r="M721" s="16">
        <f t="shared" si="48"/>
        <v>2.133437539619704E-2</v>
      </c>
    </row>
    <row r="722" spans="1:13" x14ac:dyDescent="0.3">
      <c r="A722" t="s">
        <v>729</v>
      </c>
      <c r="B722" s="1">
        <v>0.97080867822346395</v>
      </c>
      <c r="C722" s="1">
        <v>0.96833649763025997</v>
      </c>
      <c r="D722" s="1">
        <v>0.91819316245902405</v>
      </c>
      <c r="E722" s="1">
        <v>1.00548832738853</v>
      </c>
      <c r="F722" s="1">
        <v>1.00548832738853</v>
      </c>
      <c r="G722" s="1">
        <v>1.00548832738853</v>
      </c>
      <c r="H722">
        <v>583</v>
      </c>
      <c r="I722">
        <v>471</v>
      </c>
      <c r="J722" s="16">
        <f t="shared" si="45"/>
        <v>3.4490354806143375E-2</v>
      </c>
      <c r="K722" s="16">
        <f t="shared" si="46"/>
        <v>3.6949041322798186E-2</v>
      </c>
      <c r="L722" s="16">
        <f t="shared" si="47"/>
        <v>8.6818675614296112E-2</v>
      </c>
      <c r="M722" s="16">
        <f t="shared" si="48"/>
        <v>3.6949041322798186E-2</v>
      </c>
    </row>
    <row r="723" spans="1:13" x14ac:dyDescent="0.3">
      <c r="A723" t="s">
        <v>730</v>
      </c>
      <c r="B723" s="1">
        <v>1.0017572202446401</v>
      </c>
      <c r="C723" s="1">
        <v>1.0017639844716899</v>
      </c>
      <c r="D723" s="1">
        <v>1.0017549641365699</v>
      </c>
      <c r="E723" s="1">
        <v>1.00554414474885</v>
      </c>
      <c r="F723" s="1">
        <v>1.00554414474885</v>
      </c>
      <c r="G723" s="1">
        <v>1.00554414474885</v>
      </c>
      <c r="H723">
        <v>438</v>
      </c>
      <c r="I723">
        <v>438</v>
      </c>
      <c r="J723" s="16">
        <f t="shared" si="45"/>
        <v>3.7660450055683661E-3</v>
      </c>
      <c r="K723" s="16">
        <f t="shared" si="46"/>
        <v>3.7593180736030817E-3</v>
      </c>
      <c r="L723" s="16">
        <f t="shared" si="47"/>
        <v>3.7682886744136615E-3</v>
      </c>
      <c r="M723" s="16">
        <f t="shared" si="48"/>
        <v>3.7660450055683661E-3</v>
      </c>
    </row>
    <row r="724" spans="1:13" x14ac:dyDescent="0.3">
      <c r="A724" t="s">
        <v>731</v>
      </c>
      <c r="B724" s="1">
        <v>1.0036569597315801</v>
      </c>
      <c r="C724" s="1">
        <v>1.0005469244352401</v>
      </c>
      <c r="D724" s="1">
        <v>0.97276540262215305</v>
      </c>
      <c r="E724" s="1">
        <v>1.0018710207006301</v>
      </c>
      <c r="F724" s="1">
        <v>1.0018710207006301</v>
      </c>
      <c r="G724" s="1">
        <v>1.0018710207006301</v>
      </c>
      <c r="H724">
        <v>325</v>
      </c>
      <c r="I724">
        <v>314</v>
      </c>
      <c r="J724" s="16">
        <f t="shared" si="45"/>
        <v>-1.7826037424468956E-3</v>
      </c>
      <c r="K724" s="16">
        <f t="shared" si="46"/>
        <v>1.3216234804995313E-3</v>
      </c>
      <c r="L724" s="16">
        <f t="shared" si="47"/>
        <v>2.905126256483875E-2</v>
      </c>
      <c r="M724" s="16">
        <f t="shared" si="48"/>
        <v>1.3216234804995313E-3</v>
      </c>
    </row>
    <row r="725" spans="1:13" x14ac:dyDescent="0.3">
      <c r="A725" t="s">
        <v>732</v>
      </c>
      <c r="B725" s="1">
        <v>1.00221112029768</v>
      </c>
      <c r="C725" s="1">
        <v>1.00221112029381</v>
      </c>
      <c r="D725" s="1">
        <v>1.0022111203059201</v>
      </c>
      <c r="E725" s="1">
        <v>1.03402470307262</v>
      </c>
      <c r="F725" s="1">
        <v>1.03402470307262</v>
      </c>
      <c r="G725" s="1">
        <v>1.03402470307262</v>
      </c>
      <c r="H725">
        <v>358</v>
      </c>
      <c r="I725">
        <v>358</v>
      </c>
      <c r="J725" s="16">
        <f t="shared" si="45"/>
        <v>3.0766753135012551E-2</v>
      </c>
      <c r="K725" s="16">
        <f t="shared" si="46"/>
        <v>3.0766753138755223E-2</v>
      </c>
      <c r="L725" s="16">
        <f t="shared" si="47"/>
        <v>3.0766753127043616E-2</v>
      </c>
      <c r="M725" s="16">
        <f t="shared" si="48"/>
        <v>3.0766753135012551E-2</v>
      </c>
    </row>
    <row r="726" spans="1:13" x14ac:dyDescent="0.3">
      <c r="A726" t="s">
        <v>733</v>
      </c>
      <c r="B726" s="1">
        <v>0.99183153926378498</v>
      </c>
      <c r="C726" s="1">
        <v>0.98757843235175102</v>
      </c>
      <c r="D726" s="1">
        <v>0.99183153926461298</v>
      </c>
      <c r="E726" s="1">
        <v>0.40810331174088998</v>
      </c>
      <c r="F726" s="1">
        <v>0.40810331174088998</v>
      </c>
      <c r="G726" s="1">
        <v>0.40810331174088998</v>
      </c>
      <c r="H726">
        <v>248</v>
      </c>
      <c r="I726">
        <v>247</v>
      </c>
      <c r="J726" s="16">
        <f t="shared" si="45"/>
        <v>-1.4303442553132515</v>
      </c>
      <c r="K726" s="16">
        <f t="shared" si="46"/>
        <v>-1.419922612582907</v>
      </c>
      <c r="L726" s="16">
        <f t="shared" si="47"/>
        <v>-1.4303442553152803</v>
      </c>
      <c r="M726" s="16">
        <f t="shared" si="48"/>
        <v>1.4303442553132515</v>
      </c>
    </row>
    <row r="727" spans="1:13" x14ac:dyDescent="0.3">
      <c r="A727" t="s">
        <v>734</v>
      </c>
      <c r="B727" s="1">
        <v>1.0040489490312801</v>
      </c>
      <c r="C727" s="1">
        <v>0.99716851387158001</v>
      </c>
      <c r="D727" s="1">
        <v>1.0040547447765</v>
      </c>
      <c r="E727" s="1">
        <v>1.0045605061643801</v>
      </c>
      <c r="F727" s="1">
        <v>1.0045605061643801</v>
      </c>
      <c r="G727" s="1">
        <v>1.0045605061643801</v>
      </c>
      <c r="H727">
        <v>294</v>
      </c>
      <c r="I727">
        <v>292</v>
      </c>
      <c r="J727" s="16">
        <f t="shared" si="45"/>
        <v>5.0923476481596697E-4</v>
      </c>
      <c r="K727" s="16">
        <f t="shared" si="46"/>
        <v>7.3584341086872229E-3</v>
      </c>
      <c r="L727" s="16">
        <f t="shared" si="47"/>
        <v>5.0346533113386721E-4</v>
      </c>
      <c r="M727" s="16">
        <f t="shared" si="48"/>
        <v>5.0923476481596697E-4</v>
      </c>
    </row>
    <row r="728" spans="1:13" x14ac:dyDescent="0.3">
      <c r="A728" t="s">
        <v>735</v>
      </c>
      <c r="B728" s="1">
        <v>0.99218266721377302</v>
      </c>
      <c r="C728" s="1">
        <v>1.05157692952356</v>
      </c>
      <c r="D728" s="1">
        <v>0.99232944171821003</v>
      </c>
      <c r="E728" s="1">
        <v>0.97504498714652899</v>
      </c>
      <c r="F728" s="1">
        <v>0.97504498714652899</v>
      </c>
      <c r="G728" s="1">
        <v>0.97504498714652899</v>
      </c>
      <c r="H728">
        <v>392</v>
      </c>
      <c r="I728">
        <v>389</v>
      </c>
      <c r="J728" s="16">
        <f t="shared" si="45"/>
        <v>-1.7576296779287574E-2</v>
      </c>
      <c r="K728" s="16">
        <f t="shared" si="46"/>
        <v>-7.8490678261935232E-2</v>
      </c>
      <c r="L728" s="16">
        <f t="shared" si="47"/>
        <v>-1.7726827786955789E-2</v>
      </c>
      <c r="M728" s="16">
        <f t="shared" si="48"/>
        <v>1.7726827786955789E-2</v>
      </c>
    </row>
    <row r="729" spans="1:13" x14ac:dyDescent="0.3">
      <c r="A729" t="s">
        <v>736</v>
      </c>
      <c r="B729" s="1">
        <v>0.97259178675111602</v>
      </c>
      <c r="C729" s="1">
        <v>0.97550394947955699</v>
      </c>
      <c r="D729" s="1">
        <v>0.97676056407968703</v>
      </c>
      <c r="E729" s="1">
        <v>1.00600000510638</v>
      </c>
      <c r="F729" s="1">
        <v>1.00600000510638</v>
      </c>
      <c r="G729" s="1">
        <v>1.00600000510638</v>
      </c>
      <c r="H729">
        <v>727</v>
      </c>
      <c r="I729">
        <v>705</v>
      </c>
      <c r="J729" s="16">
        <f t="shared" si="45"/>
        <v>3.3208964399290636E-2</v>
      </c>
      <c r="K729" s="16">
        <f t="shared" si="46"/>
        <v>3.0314170449331344E-2</v>
      </c>
      <c r="L729" s="16">
        <f t="shared" si="47"/>
        <v>2.9065050574826806E-2</v>
      </c>
      <c r="M729" s="16">
        <f t="shared" si="48"/>
        <v>3.0314170449331344E-2</v>
      </c>
    </row>
    <row r="730" spans="1:13" x14ac:dyDescent="0.3">
      <c r="A730" t="s">
        <v>737</v>
      </c>
      <c r="B730" s="1">
        <v>0.99502277992231003</v>
      </c>
      <c r="C730" s="1">
        <v>0.99503992725672097</v>
      </c>
      <c r="D730" s="1">
        <v>0.98138608216099299</v>
      </c>
      <c r="E730" s="1">
        <v>1.0033764396551701</v>
      </c>
      <c r="F730" s="1">
        <v>1.0033764396551701</v>
      </c>
      <c r="G730" s="1">
        <v>1.0033764396551701</v>
      </c>
      <c r="H730">
        <v>294</v>
      </c>
      <c r="I730">
        <v>290</v>
      </c>
      <c r="J730" s="16">
        <f t="shared" si="45"/>
        <v>8.3255490190012448E-3</v>
      </c>
      <c r="K730" s="16">
        <f t="shared" si="46"/>
        <v>8.3084593867024919E-3</v>
      </c>
      <c r="L730" s="16">
        <f t="shared" si="47"/>
        <v>2.1916358233141812E-2</v>
      </c>
      <c r="M730" s="16">
        <f t="shared" si="48"/>
        <v>8.3255490190012448E-3</v>
      </c>
    </row>
    <row r="731" spans="1:13" x14ac:dyDescent="0.3">
      <c r="A731" t="s">
        <v>738</v>
      </c>
      <c r="B731" s="1">
        <v>0.97839753175691002</v>
      </c>
      <c r="C731" s="1">
        <v>0.98783919175263402</v>
      </c>
      <c r="D731" s="1">
        <v>0.96022836464383698</v>
      </c>
      <c r="E731" s="1">
        <v>1.0114432807407401</v>
      </c>
      <c r="F731" s="1">
        <v>1.0114432807407401</v>
      </c>
      <c r="G731" s="1">
        <v>1.0114432807407401</v>
      </c>
      <c r="H731">
        <v>424</v>
      </c>
      <c r="I731">
        <v>405</v>
      </c>
      <c r="J731" s="16">
        <f t="shared" si="45"/>
        <v>3.2671875539702723E-2</v>
      </c>
      <c r="K731" s="16">
        <f t="shared" si="46"/>
        <v>2.3337036725202608E-2</v>
      </c>
      <c r="L731" s="16">
        <f t="shared" si="47"/>
        <v>5.0635480082872629E-2</v>
      </c>
      <c r="M731" s="16">
        <f t="shared" si="48"/>
        <v>3.2671875539702723E-2</v>
      </c>
    </row>
    <row r="732" spans="1:13" x14ac:dyDescent="0.3">
      <c r="A732" t="s">
        <v>739</v>
      </c>
      <c r="B732" s="1">
        <v>1.0065482989822601</v>
      </c>
      <c r="C732" s="1">
        <v>1.00652510337747</v>
      </c>
      <c r="D732" s="1">
        <v>1.00629841866601</v>
      </c>
      <c r="E732" s="1">
        <v>0.98424107142857098</v>
      </c>
      <c r="F732" s="1">
        <v>0.98424107142857098</v>
      </c>
      <c r="G732" s="1">
        <v>0.98424107142857098</v>
      </c>
      <c r="H732">
        <v>224</v>
      </c>
      <c r="I732">
        <v>224</v>
      </c>
      <c r="J732" s="16">
        <f t="shared" si="45"/>
        <v>-2.2664394121768749E-2</v>
      </c>
      <c r="K732" s="16">
        <f t="shared" si="46"/>
        <v>-2.2640827126381775E-2</v>
      </c>
      <c r="L732" s="16">
        <f t="shared" si="47"/>
        <v>-2.2410512909630979E-2</v>
      </c>
      <c r="M732" s="16">
        <f t="shared" si="48"/>
        <v>2.2640827126381775E-2</v>
      </c>
    </row>
    <row r="733" spans="1:13" x14ac:dyDescent="0.3">
      <c r="A733" t="s">
        <v>740</v>
      </c>
      <c r="B733" s="1">
        <v>0.94264866177446904</v>
      </c>
      <c r="C733" s="1">
        <v>0.92223531026317895</v>
      </c>
      <c r="D733" s="1">
        <v>0.90612131638335203</v>
      </c>
      <c r="E733" s="1">
        <v>1.0040151549323</v>
      </c>
      <c r="F733" s="1">
        <v>1.0040151549323</v>
      </c>
      <c r="G733" s="1">
        <v>1.0040151549323</v>
      </c>
      <c r="H733">
        <v>691</v>
      </c>
      <c r="I733">
        <v>517</v>
      </c>
      <c r="J733" s="16">
        <f t="shared" si="45"/>
        <v>6.1121082541795733E-2</v>
      </c>
      <c r="K733" s="16">
        <f t="shared" si="46"/>
        <v>8.1452799061220729E-2</v>
      </c>
      <c r="L733" s="16">
        <f t="shared" si="47"/>
        <v>9.7502351501406237E-2</v>
      </c>
      <c r="M733" s="16">
        <f t="shared" si="48"/>
        <v>8.1452799061220729E-2</v>
      </c>
    </row>
    <row r="734" spans="1:13" x14ac:dyDescent="0.3">
      <c r="A734" t="s">
        <v>741</v>
      </c>
      <c r="B734" s="1"/>
      <c r="C734" s="1"/>
      <c r="D734" s="1"/>
      <c r="E734" s="1">
        <v>1.0235469965517201</v>
      </c>
      <c r="F734" s="1">
        <v>1.0235469965517201</v>
      </c>
      <c r="G734" s="1">
        <v>1.0235469965517201</v>
      </c>
      <c r="H734">
        <v>1739</v>
      </c>
      <c r="I734">
        <v>1334</v>
      </c>
      <c r="J734" s="16">
        <f t="shared" si="45"/>
        <v>1</v>
      </c>
      <c r="K734" s="16">
        <f t="shared" si="46"/>
        <v>1</v>
      </c>
      <c r="L734" s="16">
        <f t="shared" si="47"/>
        <v>1</v>
      </c>
      <c r="M734" s="16">
        <f t="shared" si="48"/>
        <v>1</v>
      </c>
    </row>
    <row r="735" spans="1:13" x14ac:dyDescent="0.3">
      <c r="A735" t="s">
        <v>742</v>
      </c>
      <c r="B735" s="1">
        <v>0.99459543309565601</v>
      </c>
      <c r="C735" s="1">
        <v>1.0284489372102099</v>
      </c>
      <c r="D735" s="1">
        <v>0.994577238743513</v>
      </c>
      <c r="E735" s="1">
        <v>1.0275865324572899</v>
      </c>
      <c r="F735" s="1">
        <v>1.0275865324572899</v>
      </c>
      <c r="G735" s="1">
        <v>1.0275865324572899</v>
      </c>
      <c r="H735">
        <v>768</v>
      </c>
      <c r="I735">
        <v>761</v>
      </c>
      <c r="J735" s="16">
        <f t="shared" si="45"/>
        <v>3.2105422093010094E-2</v>
      </c>
      <c r="K735" s="16">
        <f t="shared" si="46"/>
        <v>-8.392526815797208E-4</v>
      </c>
      <c r="L735" s="16">
        <f t="shared" si="47"/>
        <v>3.2123128000559803E-2</v>
      </c>
      <c r="M735" s="16">
        <f t="shared" si="48"/>
        <v>3.2105422093010094E-2</v>
      </c>
    </row>
    <row r="736" spans="1:13" x14ac:dyDescent="0.3">
      <c r="A736" t="s">
        <v>743</v>
      </c>
      <c r="B736" s="1">
        <v>1.00170628771305</v>
      </c>
      <c r="C736" s="1">
        <v>1.0015460963101599</v>
      </c>
      <c r="D736" s="1">
        <v>0.97162133571991904</v>
      </c>
      <c r="E736" s="1">
        <v>1.01134997007125</v>
      </c>
      <c r="F736" s="1">
        <v>1.01134997007125</v>
      </c>
      <c r="G736" s="1">
        <v>1.01134997007125</v>
      </c>
      <c r="H736">
        <v>434</v>
      </c>
      <c r="I736">
        <v>421</v>
      </c>
      <c r="J736" s="16">
        <f t="shared" si="45"/>
        <v>9.5354552267605357E-3</v>
      </c>
      <c r="K736" s="16">
        <f t="shared" si="46"/>
        <v>9.6938488665792577E-3</v>
      </c>
      <c r="L736" s="16">
        <f t="shared" si="47"/>
        <v>3.9282776019197496E-2</v>
      </c>
      <c r="M736" s="16">
        <f t="shared" si="48"/>
        <v>9.6938488665792577E-3</v>
      </c>
    </row>
    <row r="737" spans="1:13" x14ac:dyDescent="0.3">
      <c r="A737" t="s">
        <v>744</v>
      </c>
      <c r="B737" s="1">
        <v>0.984784921746372</v>
      </c>
      <c r="C737" s="1">
        <v>1.47102646706911</v>
      </c>
      <c r="D737" s="1">
        <v>0.89904033330549904</v>
      </c>
      <c r="E737" s="1">
        <v>1.01300994547872</v>
      </c>
      <c r="F737" s="1">
        <v>1.01300994547872</v>
      </c>
      <c r="G737" s="1">
        <v>1.01300994547872</v>
      </c>
      <c r="H737">
        <v>506</v>
      </c>
      <c r="I737">
        <v>376</v>
      </c>
      <c r="J737" s="16">
        <f t="shared" si="45"/>
        <v>2.7862533688165991E-2</v>
      </c>
      <c r="K737" s="16">
        <f t="shared" si="46"/>
        <v>-0.45213427926805222</v>
      </c>
      <c r="L737" s="16">
        <f t="shared" si="47"/>
        <v>0.11250591633566061</v>
      </c>
      <c r="M737" s="16">
        <f t="shared" si="48"/>
        <v>2.7862533688165991E-2</v>
      </c>
    </row>
    <row r="738" spans="1:13" x14ac:dyDescent="0.3">
      <c r="A738" t="s">
        <v>745</v>
      </c>
      <c r="B738" s="1">
        <v>0.99617901059092195</v>
      </c>
      <c r="C738" s="1">
        <v>0.99617842769184295</v>
      </c>
      <c r="D738" s="1">
        <v>1.1879326843210201</v>
      </c>
      <c r="E738" s="1">
        <v>1.0056146876629</v>
      </c>
      <c r="F738" s="1">
        <v>1.0056146876629</v>
      </c>
      <c r="G738" s="1">
        <v>1.0056146876629</v>
      </c>
      <c r="H738">
        <v>1201</v>
      </c>
      <c r="I738">
        <v>1151</v>
      </c>
      <c r="J738" s="16">
        <f t="shared" si="45"/>
        <v>9.3829944885819114E-3</v>
      </c>
      <c r="K738" s="16">
        <f t="shared" si="46"/>
        <v>9.383574133137779E-3</v>
      </c>
      <c r="L738" s="16">
        <f t="shared" si="47"/>
        <v>-0.18130005348453737</v>
      </c>
      <c r="M738" s="16">
        <f t="shared" si="48"/>
        <v>9.3829944885819114E-3</v>
      </c>
    </row>
    <row r="739" spans="1:13" x14ac:dyDescent="0.3">
      <c r="A739" t="s">
        <v>746</v>
      </c>
      <c r="B739" s="1">
        <v>0.92404382684364605</v>
      </c>
      <c r="C739" s="1">
        <v>0.91982877622136305</v>
      </c>
      <c r="D739" s="1">
        <v>0.92514522510814001</v>
      </c>
      <c r="E739" s="1">
        <v>1.01350241006896</v>
      </c>
      <c r="F739" s="1">
        <v>1.01350241006896</v>
      </c>
      <c r="G739" s="1">
        <v>1.01350241006896</v>
      </c>
      <c r="H739">
        <v>929</v>
      </c>
      <c r="I739">
        <v>725</v>
      </c>
      <c r="J739" s="16">
        <f t="shared" si="45"/>
        <v>8.8266769113284196E-2</v>
      </c>
      <c r="K739" s="16">
        <f t="shared" si="46"/>
        <v>9.2425664622961576E-2</v>
      </c>
      <c r="L739" s="16">
        <f t="shared" si="47"/>
        <v>8.7180044253479444E-2</v>
      </c>
      <c r="M739" s="16">
        <f t="shared" si="48"/>
        <v>8.8266769113284196E-2</v>
      </c>
    </row>
    <row r="740" spans="1:13" x14ac:dyDescent="0.3">
      <c r="A740" t="s">
        <v>747</v>
      </c>
      <c r="B740" s="1">
        <v>1.002334668929</v>
      </c>
      <c r="C740" s="1">
        <v>1.0010030721113701</v>
      </c>
      <c r="D740" s="1">
        <v>1.00233466783919</v>
      </c>
      <c r="E740" s="1">
        <v>1.02119793470744</v>
      </c>
      <c r="F740" s="1">
        <v>1.02119793470744</v>
      </c>
      <c r="G740" s="1">
        <v>1.02119793470744</v>
      </c>
      <c r="H740">
        <v>753</v>
      </c>
      <c r="I740">
        <v>752</v>
      </c>
      <c r="J740" s="16">
        <f t="shared" si="45"/>
        <v>1.8471703807199806E-2</v>
      </c>
      <c r="K740" s="16">
        <f t="shared" si="46"/>
        <v>1.977565945808098E-2</v>
      </c>
      <c r="L740" s="16">
        <f t="shared" si="47"/>
        <v>1.8471704874387648E-2</v>
      </c>
      <c r="M740" s="16">
        <f t="shared" si="48"/>
        <v>1.8471704874387648E-2</v>
      </c>
    </row>
    <row r="741" spans="1:13" x14ac:dyDescent="0.3">
      <c r="A741" t="s">
        <v>748</v>
      </c>
      <c r="B741" s="1">
        <v>1.00472035427756</v>
      </c>
      <c r="C741" s="1">
        <v>1.00453067351434</v>
      </c>
      <c r="D741" s="1">
        <v>1.0046566257768199</v>
      </c>
      <c r="E741" s="1">
        <v>1.00295021896103</v>
      </c>
      <c r="F741" s="1">
        <v>1.00295021896103</v>
      </c>
      <c r="G741" s="1">
        <v>1.00295021896103</v>
      </c>
      <c r="H741">
        <v>385</v>
      </c>
      <c r="I741">
        <v>385</v>
      </c>
      <c r="J741" s="16">
        <f t="shared" si="45"/>
        <v>-1.764928391325083E-3</v>
      </c>
      <c r="K741" s="16">
        <f t="shared" si="46"/>
        <v>-1.5758055818036838E-3</v>
      </c>
      <c r="L741" s="16">
        <f t="shared" si="47"/>
        <v>-1.7013873505682263E-3</v>
      </c>
      <c r="M741" s="16">
        <f t="shared" si="48"/>
        <v>1.7013873505682263E-3</v>
      </c>
    </row>
    <row r="742" spans="1:13" x14ac:dyDescent="0.3">
      <c r="A742" t="s">
        <v>749</v>
      </c>
      <c r="B742" s="1">
        <v>1.00808481355775</v>
      </c>
      <c r="C742" s="1">
        <v>1.00842187266921</v>
      </c>
      <c r="D742" s="1">
        <v>1.0081689334655</v>
      </c>
      <c r="E742" s="1">
        <v>1.0037367522968099</v>
      </c>
      <c r="F742" s="1">
        <v>1.0037367522968099</v>
      </c>
      <c r="G742" s="1">
        <v>1.0037367522968099</v>
      </c>
      <c r="H742">
        <v>283</v>
      </c>
      <c r="I742">
        <v>283</v>
      </c>
      <c r="J742" s="16">
        <f t="shared" si="45"/>
        <v>-4.3318741203713278E-3</v>
      </c>
      <c r="K742" s="16">
        <f t="shared" si="46"/>
        <v>-4.6676784143644514E-3</v>
      </c>
      <c r="L742" s="16">
        <f t="shared" si="47"/>
        <v>-4.4156808630829367E-3</v>
      </c>
      <c r="M742" s="16">
        <f t="shared" si="48"/>
        <v>4.4156808630829367E-3</v>
      </c>
    </row>
    <row r="743" spans="1:13" x14ac:dyDescent="0.3">
      <c r="A743" t="s">
        <v>750</v>
      </c>
      <c r="B743" s="1">
        <v>0.96312081042106701</v>
      </c>
      <c r="C743" s="1">
        <v>0.97423904719735899</v>
      </c>
      <c r="D743" s="1">
        <v>0.95515806156949801</v>
      </c>
      <c r="E743" s="1">
        <v>0.976578473132372</v>
      </c>
      <c r="F743" s="1">
        <v>0.976578473132372</v>
      </c>
      <c r="G743" s="1">
        <v>0.976578473132372</v>
      </c>
      <c r="H743">
        <v>874</v>
      </c>
      <c r="I743">
        <v>763</v>
      </c>
      <c r="J743" s="16">
        <f t="shared" si="45"/>
        <v>1.378042121708826E-2</v>
      </c>
      <c r="K743" s="16">
        <f t="shared" si="46"/>
        <v>2.3955329749480521E-3</v>
      </c>
      <c r="L743" s="16">
        <f t="shared" si="47"/>
        <v>2.1934142674851415E-2</v>
      </c>
      <c r="M743" s="16">
        <f t="shared" si="48"/>
        <v>1.378042121708826E-2</v>
      </c>
    </row>
    <row r="744" spans="1:13" x14ac:dyDescent="0.3">
      <c r="A744" t="s">
        <v>751</v>
      </c>
      <c r="B744" s="1">
        <v>0.97211350988353895</v>
      </c>
      <c r="C744" s="1">
        <v>0.96645018732066501</v>
      </c>
      <c r="D744" s="1">
        <v>0.96581947873905805</v>
      </c>
      <c r="E744" s="1">
        <v>0.96496555474642298</v>
      </c>
      <c r="F744" s="1">
        <v>0.96496555474642298</v>
      </c>
      <c r="G744" s="1">
        <v>0.96496555474642298</v>
      </c>
      <c r="H744">
        <v>794</v>
      </c>
      <c r="I744">
        <v>769</v>
      </c>
      <c r="J744" s="16">
        <f t="shared" si="45"/>
        <v>-7.4074718024461856E-3</v>
      </c>
      <c r="K744" s="16">
        <f t="shared" si="46"/>
        <v>-1.5385342688549804E-3</v>
      </c>
      <c r="L744" s="16">
        <f t="shared" si="47"/>
        <v>-8.8492691623532726E-4</v>
      </c>
      <c r="M744" s="16">
        <f t="shared" si="48"/>
        <v>1.5385342688549804E-3</v>
      </c>
    </row>
    <row r="745" spans="1:13" x14ac:dyDescent="0.3">
      <c r="A745" t="s">
        <v>752</v>
      </c>
      <c r="B745" s="1">
        <v>0.99994239402095597</v>
      </c>
      <c r="C745" s="1">
        <v>1.4369221802150001</v>
      </c>
      <c r="D745" s="1">
        <v>0.99964385721973403</v>
      </c>
      <c r="E745" s="1">
        <v>1.01435301428571</v>
      </c>
      <c r="F745" s="1">
        <v>1.01435301428571</v>
      </c>
      <c r="G745" s="1">
        <v>1.01435301428571</v>
      </c>
      <c r="H745">
        <v>514</v>
      </c>
      <c r="I745">
        <v>483</v>
      </c>
      <c r="J745" s="16">
        <f t="shared" si="45"/>
        <v>1.4206711136853819E-2</v>
      </c>
      <c r="K745" s="16">
        <f t="shared" si="46"/>
        <v>-0.41658984591952536</v>
      </c>
      <c r="L745" s="16">
        <f t="shared" si="47"/>
        <v>1.4501023666138471E-2</v>
      </c>
      <c r="M745" s="16">
        <f t="shared" si="48"/>
        <v>1.4206711136853819E-2</v>
      </c>
    </row>
    <row r="746" spans="1:13" x14ac:dyDescent="0.3">
      <c r="A746" t="s">
        <v>753</v>
      </c>
      <c r="B746" s="1">
        <v>0.99251673583830502</v>
      </c>
      <c r="C746" s="1">
        <v>0.99251589443620902</v>
      </c>
      <c r="D746" s="1">
        <v>0.992519130516755</v>
      </c>
      <c r="E746" s="1">
        <v>1.0062197981587999</v>
      </c>
      <c r="F746" s="1">
        <v>1.0062197981587999</v>
      </c>
      <c r="G746" s="1">
        <v>1.0062197981587999</v>
      </c>
      <c r="H746">
        <v>869</v>
      </c>
      <c r="I746">
        <v>869</v>
      </c>
      <c r="J746" s="16">
        <f t="shared" si="45"/>
        <v>1.3618358877025696E-2</v>
      </c>
      <c r="K746" s="16">
        <f t="shared" si="46"/>
        <v>1.3619195078119668E-2</v>
      </c>
      <c r="L746" s="16">
        <f t="shared" si="47"/>
        <v>1.3615979000924707E-2</v>
      </c>
      <c r="M746" s="16">
        <f t="shared" si="48"/>
        <v>1.3618358877025696E-2</v>
      </c>
    </row>
    <row r="747" spans="1:13" x14ac:dyDescent="0.3">
      <c r="A747" t="s">
        <v>754</v>
      </c>
      <c r="B747" s="1">
        <v>0.96899050298145095</v>
      </c>
      <c r="C747" s="1">
        <v>0.98606505645322795</v>
      </c>
      <c r="D747" s="1">
        <v>0.96568603421758703</v>
      </c>
      <c r="E747" s="1">
        <v>1.0117034179077999</v>
      </c>
      <c r="F747" s="1">
        <v>1.0117034179077999</v>
      </c>
      <c r="G747" s="1">
        <v>1.0117034179077999</v>
      </c>
      <c r="H747">
        <v>586</v>
      </c>
      <c r="I747">
        <v>564</v>
      </c>
      <c r="J747" s="16">
        <f t="shared" si="45"/>
        <v>4.2218810542994097E-2</v>
      </c>
      <c r="K747" s="16">
        <f t="shared" si="46"/>
        <v>2.5341776058829629E-2</v>
      </c>
      <c r="L747" s="16">
        <f t="shared" si="47"/>
        <v>4.5485053105164694E-2</v>
      </c>
      <c r="M747" s="16">
        <f t="shared" si="48"/>
        <v>4.2218810542994097E-2</v>
      </c>
    </row>
    <row r="748" spans="1:13" x14ac:dyDescent="0.3">
      <c r="A748" t="s">
        <v>755</v>
      </c>
      <c r="B748" s="1">
        <v>0.99439840019470405</v>
      </c>
      <c r="C748" s="1">
        <v>1.0021759384578199</v>
      </c>
      <c r="D748" s="1">
        <v>0.97886499854667797</v>
      </c>
      <c r="E748" s="1">
        <v>1.00459555946666</v>
      </c>
      <c r="F748" s="1">
        <v>1.00459555946666</v>
      </c>
      <c r="G748" s="1">
        <v>1.00459555946666</v>
      </c>
      <c r="H748">
        <v>387</v>
      </c>
      <c r="I748">
        <v>375</v>
      </c>
      <c r="J748" s="16">
        <f t="shared" si="45"/>
        <v>1.0150511990486642E-2</v>
      </c>
      <c r="K748" s="16">
        <f t="shared" si="46"/>
        <v>2.4085523632263071E-3</v>
      </c>
      <c r="L748" s="16">
        <f t="shared" si="47"/>
        <v>2.5612855519331987E-2</v>
      </c>
      <c r="M748" s="16">
        <f t="shared" si="48"/>
        <v>1.0150511990486642E-2</v>
      </c>
    </row>
    <row r="749" spans="1:13" x14ac:dyDescent="0.3">
      <c r="A749" t="s">
        <v>756</v>
      </c>
      <c r="B749" s="1">
        <v>0.98339118115867896</v>
      </c>
      <c r="C749" s="1">
        <v>0.96748425143209105</v>
      </c>
      <c r="D749" s="1">
        <v>0.99488576723964095</v>
      </c>
      <c r="E749" s="1">
        <v>1.0184739882703699</v>
      </c>
      <c r="F749" s="1">
        <v>1.0184739882703699</v>
      </c>
      <c r="G749" s="1">
        <v>1.0184739882703699</v>
      </c>
      <c r="H749">
        <v>570</v>
      </c>
      <c r="I749">
        <v>503</v>
      </c>
      <c r="J749" s="16">
        <f t="shared" si="45"/>
        <v>3.4446443910924607E-2</v>
      </c>
      <c r="K749" s="16">
        <f t="shared" si="46"/>
        <v>5.0064839579135989E-2</v>
      </c>
      <c r="L749" s="16">
        <f t="shared" si="47"/>
        <v>2.3160356869582743E-2</v>
      </c>
      <c r="M749" s="16">
        <f t="shared" si="48"/>
        <v>3.4446443910924607E-2</v>
      </c>
    </row>
    <row r="750" spans="1:13" x14ac:dyDescent="0.3">
      <c r="A750" t="s">
        <v>757</v>
      </c>
      <c r="B750" s="1">
        <v>1.0037560399169001</v>
      </c>
      <c r="C750" s="1">
        <v>1.00374314859129</v>
      </c>
      <c r="D750" s="1">
        <v>0.99659720151019604</v>
      </c>
      <c r="E750" s="1">
        <v>1.01244285054151</v>
      </c>
      <c r="F750" s="1">
        <v>1.01244285054151</v>
      </c>
      <c r="G750" s="1">
        <v>1.01244285054151</v>
      </c>
      <c r="H750">
        <v>279</v>
      </c>
      <c r="I750">
        <v>277</v>
      </c>
      <c r="J750" s="16">
        <f t="shared" si="45"/>
        <v>8.5800503405833433E-3</v>
      </c>
      <c r="K750" s="16">
        <f t="shared" si="46"/>
        <v>8.5927832327196384E-3</v>
      </c>
      <c r="L750" s="16">
        <f t="shared" si="47"/>
        <v>1.5650907133018709E-2</v>
      </c>
      <c r="M750" s="16">
        <f t="shared" si="48"/>
        <v>8.5927832327196384E-3</v>
      </c>
    </row>
    <row r="751" spans="1:13" x14ac:dyDescent="0.3">
      <c r="A751" t="s">
        <v>758</v>
      </c>
      <c r="B751" s="1">
        <v>0.97098145405913205</v>
      </c>
      <c r="C751" s="1">
        <v>0.96045483824074696</v>
      </c>
      <c r="D751" s="1">
        <v>0.98297816479925804</v>
      </c>
      <c r="E751" s="1">
        <v>1.00793776366612</v>
      </c>
      <c r="F751" s="1">
        <v>1.00793776366612</v>
      </c>
      <c r="G751" s="1">
        <v>1.00793776366612</v>
      </c>
      <c r="H751">
        <v>670</v>
      </c>
      <c r="I751">
        <v>611</v>
      </c>
      <c r="J751" s="16">
        <f t="shared" si="45"/>
        <v>3.6665269364021688E-2</v>
      </c>
      <c r="K751" s="16">
        <f t="shared" si="46"/>
        <v>4.710898543245947E-2</v>
      </c>
      <c r="L751" s="16">
        <f t="shared" si="47"/>
        <v>2.4763035741490309E-2</v>
      </c>
      <c r="M751" s="16">
        <f t="shared" si="48"/>
        <v>3.6665269364021688E-2</v>
      </c>
    </row>
    <row r="752" spans="1:13" x14ac:dyDescent="0.3">
      <c r="A752" t="s">
        <v>759</v>
      </c>
      <c r="B752" s="1">
        <v>1.7549422905515</v>
      </c>
      <c r="C752" s="1">
        <v>2.66915149297748</v>
      </c>
      <c r="D752" s="1">
        <v>2.0870322170196398</v>
      </c>
      <c r="E752" s="1">
        <v>1.0152975369808299</v>
      </c>
      <c r="F752" s="1">
        <v>1.0152975369808299</v>
      </c>
      <c r="G752" s="1">
        <v>1.0152975369808299</v>
      </c>
      <c r="H752">
        <v>1553</v>
      </c>
      <c r="I752">
        <v>1252</v>
      </c>
      <c r="J752" s="16">
        <f t="shared" si="45"/>
        <v>-0.72850049037855147</v>
      </c>
      <c r="K752" s="16">
        <f t="shared" si="46"/>
        <v>-1.6289352586382537</v>
      </c>
      <c r="L752" s="16">
        <f t="shared" si="47"/>
        <v>-1.0555868019002645</v>
      </c>
      <c r="M752" s="16">
        <f t="shared" si="48"/>
        <v>1.0555868019002645</v>
      </c>
    </row>
    <row r="753" spans="1:13" x14ac:dyDescent="0.3">
      <c r="A753" t="s">
        <v>760</v>
      </c>
      <c r="B753" s="1">
        <v>0.99177422931961201</v>
      </c>
      <c r="C753" s="1">
        <v>0.98659157973226397</v>
      </c>
      <c r="D753" s="1">
        <v>0.99177428128115397</v>
      </c>
      <c r="E753" s="1">
        <v>1.00683377317708</v>
      </c>
      <c r="F753" s="1">
        <v>1.00683377317708</v>
      </c>
      <c r="G753" s="1">
        <v>1.00683377317708</v>
      </c>
      <c r="H753">
        <v>772</v>
      </c>
      <c r="I753">
        <v>768</v>
      </c>
      <c r="J753" s="16">
        <f t="shared" si="45"/>
        <v>1.4957328864671835E-2</v>
      </c>
      <c r="K753" s="16">
        <f t="shared" si="46"/>
        <v>2.0104801789615653E-2</v>
      </c>
      <c r="L753" s="16">
        <f t="shared" si="47"/>
        <v>1.4957277255813112E-2</v>
      </c>
      <c r="M753" s="16">
        <f t="shared" si="48"/>
        <v>1.4957328864671835E-2</v>
      </c>
    </row>
    <row r="754" spans="1:13" x14ac:dyDescent="0.3">
      <c r="A754" t="s">
        <v>761</v>
      </c>
      <c r="B754" s="1">
        <v>0.99526235694274101</v>
      </c>
      <c r="C754" s="1">
        <v>0.98927216962513398</v>
      </c>
      <c r="D754" s="1">
        <v>0.99526235684914699</v>
      </c>
      <c r="E754" s="1">
        <v>1.0023594397590301</v>
      </c>
      <c r="F754" s="1">
        <v>1.0023594397590301</v>
      </c>
      <c r="G754" s="1">
        <v>1.0023594397590301</v>
      </c>
      <c r="H754">
        <v>167</v>
      </c>
      <c r="I754">
        <v>166</v>
      </c>
      <c r="J754" s="16">
        <f t="shared" si="45"/>
        <v>7.0803770930667614E-3</v>
      </c>
      <c r="K754" s="16">
        <f t="shared" si="46"/>
        <v>1.3056464193166391E-2</v>
      </c>
      <c r="L754" s="16">
        <f t="shared" si="47"/>
        <v>7.080377186440473E-3</v>
      </c>
      <c r="M754" s="16">
        <f t="shared" si="48"/>
        <v>7.080377186440473E-3</v>
      </c>
    </row>
    <row r="755" spans="1:13" x14ac:dyDescent="0.3">
      <c r="A755" t="s">
        <v>762</v>
      </c>
      <c r="B755" s="1">
        <v>0.99567889576900903</v>
      </c>
      <c r="C755" s="1">
        <v>0.99570101501738595</v>
      </c>
      <c r="D755" s="1">
        <v>0.99576536199542998</v>
      </c>
      <c r="E755" s="1">
        <v>1.0013823541176401</v>
      </c>
      <c r="F755" s="1">
        <v>1.0013823541176401</v>
      </c>
      <c r="G755" s="1">
        <v>1.0013823541176401</v>
      </c>
      <c r="H755">
        <v>510</v>
      </c>
      <c r="I755">
        <v>510</v>
      </c>
      <c r="J755" s="16">
        <f t="shared" si="45"/>
        <v>5.6955850332080383E-3</v>
      </c>
      <c r="K755" s="16">
        <f t="shared" si="46"/>
        <v>5.6734963192558068E-3</v>
      </c>
      <c r="L755" s="16">
        <f t="shared" si="47"/>
        <v>5.6092381687307489E-3</v>
      </c>
      <c r="M755" s="16">
        <f t="shared" si="48"/>
        <v>5.6734963192558068E-3</v>
      </c>
    </row>
    <row r="756" spans="1:13" x14ac:dyDescent="0.3">
      <c r="A756" t="s">
        <v>763</v>
      </c>
      <c r="B756" s="1">
        <v>1.0036980163164499</v>
      </c>
      <c r="C756" s="1">
        <v>0.90220240428257004</v>
      </c>
      <c r="D756" s="1">
        <v>0.90663746513262</v>
      </c>
      <c r="E756" s="1">
        <v>1.00641898694444</v>
      </c>
      <c r="F756" s="1">
        <v>1.00641898694444</v>
      </c>
      <c r="G756" s="1">
        <v>1.00641898694444</v>
      </c>
      <c r="H756">
        <v>448</v>
      </c>
      <c r="I756">
        <v>360</v>
      </c>
      <c r="J756" s="16">
        <f t="shared" si="45"/>
        <v>2.7036161512126273E-3</v>
      </c>
      <c r="K756" s="16">
        <f t="shared" si="46"/>
        <v>0.10355188446740154</v>
      </c>
      <c r="L756" s="16">
        <f t="shared" si="47"/>
        <v>9.9145110641010281E-2</v>
      </c>
      <c r="M756" s="16">
        <f t="shared" si="48"/>
        <v>9.9145110641010281E-2</v>
      </c>
    </row>
    <row r="757" spans="1:13" x14ac:dyDescent="0.3">
      <c r="A757" t="s">
        <v>764</v>
      </c>
      <c r="B757" s="1">
        <v>1.0047308645344499</v>
      </c>
      <c r="C757" s="1">
        <v>1.0045690634939901</v>
      </c>
      <c r="D757" s="1">
        <v>1.0046478791429401</v>
      </c>
      <c r="E757" s="1">
        <v>1.0027359091911701</v>
      </c>
      <c r="F757" s="1">
        <v>1.0027359091911701</v>
      </c>
      <c r="G757" s="1">
        <v>1.0027359091911701</v>
      </c>
      <c r="H757">
        <v>272</v>
      </c>
      <c r="I757">
        <v>272</v>
      </c>
      <c r="J757" s="16">
        <f t="shared" si="45"/>
        <v>-1.9895122185152885E-3</v>
      </c>
      <c r="K757" s="16">
        <f t="shared" si="46"/>
        <v>-1.8281526432006557E-3</v>
      </c>
      <c r="L757" s="16">
        <f t="shared" si="47"/>
        <v>-1.9067532480334215E-3</v>
      </c>
      <c r="M757" s="16">
        <f t="shared" si="48"/>
        <v>1.9067532480334215E-3</v>
      </c>
    </row>
    <row r="758" spans="1:13" x14ac:dyDescent="0.3">
      <c r="A758" t="s">
        <v>765</v>
      </c>
      <c r="B758" s="1">
        <v>1.0888193917640501</v>
      </c>
      <c r="C758" s="1">
        <v>1.17964501349705</v>
      </c>
      <c r="D758" s="1">
        <v>0.99728175137362096</v>
      </c>
      <c r="E758" s="1">
        <v>1.0038461571194699</v>
      </c>
      <c r="F758" s="1">
        <v>1.0038461571194699</v>
      </c>
      <c r="G758" s="1">
        <v>1.0038461571194699</v>
      </c>
      <c r="H758">
        <v>655</v>
      </c>
      <c r="I758">
        <v>611</v>
      </c>
      <c r="J758" s="16">
        <f t="shared" si="45"/>
        <v>-8.4647666419733411E-2</v>
      </c>
      <c r="K758" s="16">
        <f t="shared" si="46"/>
        <v>-0.17512529696984025</v>
      </c>
      <c r="L758" s="16">
        <f t="shared" si="47"/>
        <v>6.5392547446567447E-3</v>
      </c>
      <c r="M758" s="16">
        <f t="shared" si="48"/>
        <v>8.4647666419733411E-2</v>
      </c>
    </row>
    <row r="759" spans="1:13" x14ac:dyDescent="0.3">
      <c r="A759" t="s">
        <v>766</v>
      </c>
      <c r="B759" s="1">
        <v>0.98516728489757399</v>
      </c>
      <c r="C759" s="1">
        <v>0.98517201580579805</v>
      </c>
      <c r="D759" s="1">
        <v>0.985147473369686</v>
      </c>
      <c r="E759" s="1">
        <v>1.00286149406392</v>
      </c>
      <c r="F759" s="1">
        <v>1.00286149406392</v>
      </c>
      <c r="G759" s="1">
        <v>1.00286149406392</v>
      </c>
      <c r="H759">
        <v>219</v>
      </c>
      <c r="I759">
        <v>219</v>
      </c>
      <c r="J759" s="16">
        <f t="shared" si="45"/>
        <v>1.7643721761260705E-2</v>
      </c>
      <c r="K759" s="16">
        <f t="shared" si="46"/>
        <v>1.7639004351875598E-2</v>
      </c>
      <c r="L759" s="16">
        <f t="shared" si="47"/>
        <v>1.7663476760336111E-2</v>
      </c>
      <c r="M759" s="16">
        <f t="shared" si="48"/>
        <v>1.7643721761260705E-2</v>
      </c>
    </row>
    <row r="760" spans="1:13" x14ac:dyDescent="0.3">
      <c r="A760" t="s">
        <v>767</v>
      </c>
      <c r="B760" s="1">
        <v>1.0030097453299001</v>
      </c>
      <c r="C760" s="1">
        <v>0.93517457905255097</v>
      </c>
      <c r="D760" s="1">
        <v>0.95603348378562902</v>
      </c>
      <c r="E760" s="1">
        <v>1.00570207326968</v>
      </c>
      <c r="F760" s="1">
        <v>1.00570207326968</v>
      </c>
      <c r="G760" s="1">
        <v>1.00570207326968</v>
      </c>
      <c r="H760">
        <v>473</v>
      </c>
      <c r="I760">
        <v>419</v>
      </c>
      <c r="J760" s="16">
        <f t="shared" si="45"/>
        <v>2.6770631296669949E-3</v>
      </c>
      <c r="K760" s="16">
        <f t="shared" si="46"/>
        <v>7.0127621381781705E-2</v>
      </c>
      <c r="L760" s="16">
        <f t="shared" si="47"/>
        <v>4.9386981298120754E-2</v>
      </c>
      <c r="M760" s="16">
        <f t="shared" si="48"/>
        <v>4.9386981298120754E-2</v>
      </c>
    </row>
    <row r="761" spans="1:13" x14ac:dyDescent="0.3">
      <c r="A761" t="s">
        <v>768</v>
      </c>
      <c r="B761" s="1">
        <v>1.0000390065776701</v>
      </c>
      <c r="C761" s="1">
        <v>0.98291390297529901</v>
      </c>
      <c r="D761" s="1">
        <v>0.98120004327745003</v>
      </c>
      <c r="E761" s="1">
        <v>0.96943383658969795</v>
      </c>
      <c r="F761" s="1">
        <v>0.96943383658969795</v>
      </c>
      <c r="G761" s="1">
        <v>0.96943383658969795</v>
      </c>
      <c r="H761">
        <v>584</v>
      </c>
      <c r="I761">
        <v>563</v>
      </c>
      <c r="J761" s="16">
        <f t="shared" si="45"/>
        <v>-3.1570148299791018E-2</v>
      </c>
      <c r="K761" s="16">
        <f t="shared" si="46"/>
        <v>-1.3905091690446484E-2</v>
      </c>
      <c r="L761" s="16">
        <f t="shared" si="47"/>
        <v>-1.2137194147404197E-2</v>
      </c>
      <c r="M761" s="16">
        <f t="shared" si="48"/>
        <v>1.3905091690446484E-2</v>
      </c>
    </row>
    <row r="762" spans="1:13" x14ac:dyDescent="0.3">
      <c r="A762" t="s">
        <v>769</v>
      </c>
      <c r="B762" s="1">
        <v>0.93237361433234001</v>
      </c>
      <c r="C762" s="1">
        <v>0.92263783820853196</v>
      </c>
      <c r="D762" s="1">
        <v>0.92262769741467399</v>
      </c>
      <c r="E762" s="1">
        <v>1.0056467328220799</v>
      </c>
      <c r="F762" s="1">
        <v>1.0056467328220799</v>
      </c>
      <c r="G762" s="1">
        <v>1.0056467328220799</v>
      </c>
      <c r="H762">
        <v>412</v>
      </c>
      <c r="I762">
        <v>326</v>
      </c>
      <c r="J762" s="16">
        <f t="shared" si="45"/>
        <v>7.2861688004612152E-2</v>
      </c>
      <c r="K762" s="16">
        <f t="shared" si="46"/>
        <v>8.2542797489736391E-2</v>
      </c>
      <c r="L762" s="16">
        <f t="shared" si="47"/>
        <v>8.2552881342770473E-2</v>
      </c>
      <c r="M762" s="16">
        <f t="shared" si="48"/>
        <v>8.2542797489736391E-2</v>
      </c>
    </row>
    <row r="763" spans="1:13" x14ac:dyDescent="0.3">
      <c r="A763" t="s">
        <v>770</v>
      </c>
      <c r="B763" s="1">
        <v>0.99887075640297396</v>
      </c>
      <c r="C763" s="1">
        <v>0.99592659638370895</v>
      </c>
      <c r="D763" s="1">
        <v>0.998861041608893</v>
      </c>
      <c r="E763" s="1">
        <v>1.00485251150442</v>
      </c>
      <c r="F763" s="1">
        <v>1.00485251150442</v>
      </c>
      <c r="G763" s="1">
        <v>1.00485251150442</v>
      </c>
      <c r="H763">
        <v>680</v>
      </c>
      <c r="I763">
        <v>678</v>
      </c>
      <c r="J763" s="16">
        <f t="shared" si="45"/>
        <v>5.9528687374134507E-3</v>
      </c>
      <c r="K763" s="16">
        <f t="shared" si="46"/>
        <v>8.8828111772817093E-3</v>
      </c>
      <c r="L763" s="16">
        <f t="shared" si="47"/>
        <v>5.9625366179926779E-3</v>
      </c>
      <c r="M763" s="16">
        <f t="shared" si="48"/>
        <v>5.9625366179926779E-3</v>
      </c>
    </row>
    <row r="764" spans="1:13" x14ac:dyDescent="0.3">
      <c r="A764" t="s">
        <v>771</v>
      </c>
      <c r="B764" s="1">
        <v>1.01677077046941</v>
      </c>
      <c r="C764" s="1">
        <v>1.0095287633680201</v>
      </c>
      <c r="D764" s="1">
        <v>1.00665052837389</v>
      </c>
      <c r="E764" s="1">
        <v>1.0144746499999999</v>
      </c>
      <c r="F764" s="1">
        <v>1.0144746499999999</v>
      </c>
      <c r="G764" s="1">
        <v>1.0144746499999999</v>
      </c>
      <c r="H764">
        <v>702</v>
      </c>
      <c r="I764">
        <v>690</v>
      </c>
      <c r="J764" s="16">
        <f t="shared" si="45"/>
        <v>-2.2633591380623254E-3</v>
      </c>
      <c r="K764" s="16">
        <f t="shared" si="46"/>
        <v>4.8753181087174656E-3</v>
      </c>
      <c r="L764" s="16">
        <f t="shared" si="47"/>
        <v>7.7124860893368835E-3</v>
      </c>
      <c r="M764" s="16">
        <f t="shared" si="48"/>
        <v>4.8753181087174656E-3</v>
      </c>
    </row>
    <row r="765" spans="1:13" x14ac:dyDescent="0.3">
      <c r="A765" t="s">
        <v>772</v>
      </c>
      <c r="B765" s="1">
        <v>0.95854114173925398</v>
      </c>
      <c r="C765" s="1">
        <v>0.96558494492545999</v>
      </c>
      <c r="D765" s="1">
        <v>0.96325316341237899</v>
      </c>
      <c r="E765" s="1">
        <v>1.0056675328165301</v>
      </c>
      <c r="F765" s="1">
        <v>1.0056675328165301</v>
      </c>
      <c r="G765" s="1">
        <v>1.0056675328165301</v>
      </c>
      <c r="H765">
        <v>427</v>
      </c>
      <c r="I765">
        <v>387</v>
      </c>
      <c r="J765" s="16">
        <f t="shared" si="45"/>
        <v>4.6860805921904676E-2</v>
      </c>
      <c r="K765" s="16">
        <f t="shared" si="46"/>
        <v>3.9856698742985683E-2</v>
      </c>
      <c r="L765" s="16">
        <f t="shared" si="47"/>
        <v>4.2175339284706743E-2</v>
      </c>
      <c r="M765" s="16">
        <f t="shared" si="48"/>
        <v>4.2175339284706743E-2</v>
      </c>
    </row>
    <row r="766" spans="1:13" x14ac:dyDescent="0.3">
      <c r="A766" t="s">
        <v>773</v>
      </c>
      <c r="B766" s="1">
        <v>0.99775021949865195</v>
      </c>
      <c r="C766" s="1">
        <v>0.99154621476059301</v>
      </c>
      <c r="D766" s="1">
        <v>0.99775418597211496</v>
      </c>
      <c r="E766" s="1">
        <v>1.0071988638629199</v>
      </c>
      <c r="F766" s="1">
        <v>1.0071988638629199</v>
      </c>
      <c r="G766" s="1">
        <v>1.0071988638629199</v>
      </c>
      <c r="H766">
        <v>323</v>
      </c>
      <c r="I766">
        <v>321</v>
      </c>
      <c r="J766" s="16">
        <f t="shared" si="45"/>
        <v>9.381111023129508E-3</v>
      </c>
      <c r="K766" s="16">
        <f t="shared" si="46"/>
        <v>1.5540773191794643E-2</v>
      </c>
      <c r="L766" s="16">
        <f t="shared" si="47"/>
        <v>9.3771728996810758E-3</v>
      </c>
      <c r="M766" s="16">
        <f t="shared" si="48"/>
        <v>9.381111023129508E-3</v>
      </c>
    </row>
    <row r="767" spans="1:13" x14ac:dyDescent="0.3">
      <c r="A767" t="s">
        <v>774</v>
      </c>
      <c r="B767" s="1">
        <v>0.93936720211328295</v>
      </c>
      <c r="C767" s="1">
        <v>0.94684688556792995</v>
      </c>
      <c r="D767" s="1">
        <v>0.93738762192431802</v>
      </c>
      <c r="E767" s="1">
        <v>0.96912846803377495</v>
      </c>
      <c r="F767" s="1">
        <v>0.96912846803377495</v>
      </c>
      <c r="G767" s="1">
        <v>0.96912846803377495</v>
      </c>
      <c r="H767">
        <v>980</v>
      </c>
      <c r="I767">
        <v>829</v>
      </c>
      <c r="J767" s="16">
        <f t="shared" si="45"/>
        <v>3.070930934561587E-2</v>
      </c>
      <c r="K767" s="16">
        <f t="shared" si="46"/>
        <v>2.2991361001964153E-2</v>
      </c>
      <c r="L767" s="16">
        <f t="shared" si="47"/>
        <v>3.2751948948372793E-2</v>
      </c>
      <c r="M767" s="16">
        <f t="shared" si="48"/>
        <v>3.070930934561587E-2</v>
      </c>
    </row>
    <row r="768" spans="1:13" x14ac:dyDescent="0.3">
      <c r="A768" t="s">
        <v>775</v>
      </c>
      <c r="B768" s="1">
        <v>0.98855146213134004</v>
      </c>
      <c r="C768" s="1">
        <v>0.99430370266868795</v>
      </c>
      <c r="D768" s="1">
        <v>1.0042995266861401</v>
      </c>
      <c r="E768" s="1">
        <v>1.0029863173020499</v>
      </c>
      <c r="F768" s="1">
        <v>1.0029863173020499</v>
      </c>
      <c r="G768" s="1">
        <v>1.0029863173020499</v>
      </c>
      <c r="H768">
        <v>703</v>
      </c>
      <c r="I768">
        <v>682</v>
      </c>
      <c r="J768" s="16">
        <f t="shared" si="45"/>
        <v>1.4391876461025334E-2</v>
      </c>
      <c r="K768" s="16">
        <f t="shared" si="46"/>
        <v>8.6567627928539094E-3</v>
      </c>
      <c r="L768" s="16">
        <f t="shared" si="47"/>
        <v>-1.3092994006365015E-3</v>
      </c>
      <c r="M768" s="16">
        <f t="shared" si="48"/>
        <v>8.6567627928539094E-3</v>
      </c>
    </row>
    <row r="769" spans="1:13" x14ac:dyDescent="0.3">
      <c r="A769" t="s">
        <v>776</v>
      </c>
      <c r="B769" s="1">
        <v>0.98676708528319002</v>
      </c>
      <c r="C769" s="1">
        <v>0.97652814533677601</v>
      </c>
      <c r="D769" s="1">
        <v>0.98342171504267795</v>
      </c>
      <c r="E769" s="1">
        <v>1.0060737413911001</v>
      </c>
      <c r="F769" s="1">
        <v>1.0060737413911001</v>
      </c>
      <c r="G769" s="1">
        <v>1.0060737413911001</v>
      </c>
      <c r="H769">
        <v>889</v>
      </c>
      <c r="I769">
        <v>877</v>
      </c>
      <c r="J769" s="16">
        <f t="shared" si="45"/>
        <v>1.9190100400806303E-2</v>
      </c>
      <c r="K769" s="16">
        <f t="shared" si="46"/>
        <v>2.9367227111475248E-2</v>
      </c>
      <c r="L769" s="16">
        <f t="shared" si="47"/>
        <v>2.2515274394400868E-2</v>
      </c>
      <c r="M769" s="16">
        <f t="shared" si="48"/>
        <v>2.2515274394400868E-2</v>
      </c>
    </row>
    <row r="770" spans="1:13" x14ac:dyDescent="0.3">
      <c r="A770" t="s">
        <v>777</v>
      </c>
      <c r="B770" s="1">
        <v>0.94454822341760603</v>
      </c>
      <c r="C770" s="1">
        <v>0.959925249542953</v>
      </c>
      <c r="D770" s="1">
        <v>0.98061087008513204</v>
      </c>
      <c r="E770" s="1">
        <v>0.96196120689655096</v>
      </c>
      <c r="F770" s="1">
        <v>0.96196120689655096</v>
      </c>
      <c r="G770" s="1">
        <v>0.96196120689655096</v>
      </c>
      <c r="H770">
        <v>965</v>
      </c>
      <c r="I770">
        <v>870</v>
      </c>
      <c r="J770" s="16">
        <f t="shared" si="45"/>
        <v>1.8101544380487184E-2</v>
      </c>
      <c r="K770" s="16">
        <f t="shared" si="46"/>
        <v>2.1164651328989688E-3</v>
      </c>
      <c r="L770" s="16">
        <f t="shared" si="47"/>
        <v>-1.9387126065871237E-2</v>
      </c>
      <c r="M770" s="16">
        <f t="shared" si="48"/>
        <v>2.1164651328989688E-3</v>
      </c>
    </row>
    <row r="771" spans="1:13" x14ac:dyDescent="0.3">
      <c r="A771" t="s">
        <v>778</v>
      </c>
      <c r="B771" s="1">
        <v>0.99554166244645104</v>
      </c>
      <c r="C771" s="1">
        <v>0.99554166244080899</v>
      </c>
      <c r="D771" s="1">
        <v>0.99554166244423803</v>
      </c>
      <c r="E771" s="1">
        <v>1.0070683004246199</v>
      </c>
      <c r="F771" s="1">
        <v>1.0070683004246199</v>
      </c>
      <c r="G771" s="1">
        <v>1.0070683004246199</v>
      </c>
      <c r="H771">
        <v>471</v>
      </c>
      <c r="I771">
        <v>471</v>
      </c>
      <c r="J771" s="16">
        <f t="shared" ref="J771:J834" si="49">(E771-B771)/E771</f>
        <v>1.1445736076995769E-2</v>
      </c>
      <c r="K771" s="16">
        <f t="shared" ref="K771:K834" si="50">(F771-C771)/F771</f>
        <v>1.1445736082598211E-2</v>
      </c>
      <c r="L771" s="16">
        <f t="shared" ref="L771:L834" si="51">(G771-D771)/G771</f>
        <v>1.1445736079193244E-2</v>
      </c>
      <c r="M771" s="16">
        <f t="shared" ref="M771:M834" si="52">ABS(MEDIAN(J771:L771))</f>
        <v>1.1445736079193244E-2</v>
      </c>
    </row>
    <row r="772" spans="1:13" x14ac:dyDescent="0.3">
      <c r="A772" t="s">
        <v>779</v>
      </c>
      <c r="B772" s="1">
        <v>0.99879170403847795</v>
      </c>
      <c r="C772" s="1">
        <v>0.99879170395086303</v>
      </c>
      <c r="D772" s="1">
        <v>0.99879170394052796</v>
      </c>
      <c r="E772" s="1">
        <v>0.97226211210191005</v>
      </c>
      <c r="F772" s="1">
        <v>0.97226211210191005</v>
      </c>
      <c r="G772" s="1">
        <v>0.97226211210191005</v>
      </c>
      <c r="H772">
        <v>157</v>
      </c>
      <c r="I772">
        <v>157</v>
      </c>
      <c r="J772" s="16">
        <f t="shared" si="49"/>
        <v>-2.7286460725301959E-2</v>
      </c>
      <c r="K772" s="16">
        <f t="shared" si="50"/>
        <v>-2.7286460635187457E-2</v>
      </c>
      <c r="L772" s="16">
        <f t="shared" si="51"/>
        <v>-2.728646062455754E-2</v>
      </c>
      <c r="M772" s="16">
        <f t="shared" si="52"/>
        <v>2.7286460635187457E-2</v>
      </c>
    </row>
    <row r="773" spans="1:13" x14ac:dyDescent="0.3">
      <c r="A773" t="s">
        <v>780</v>
      </c>
      <c r="B773" s="1">
        <v>0.99398947923243597</v>
      </c>
      <c r="C773" s="1">
        <v>1.19006891182452</v>
      </c>
      <c r="D773" s="1">
        <v>1.42713284226455</v>
      </c>
      <c r="E773" s="1">
        <v>1.0056890178770901</v>
      </c>
      <c r="F773" s="1">
        <v>1.0056890178770901</v>
      </c>
      <c r="G773" s="1">
        <v>1.0056890178770901</v>
      </c>
      <c r="H773">
        <v>783</v>
      </c>
      <c r="I773">
        <v>716</v>
      </c>
      <c r="J773" s="16">
        <f t="shared" si="49"/>
        <v>1.1633356272847331E-2</v>
      </c>
      <c r="K773" s="16">
        <f t="shared" si="50"/>
        <v>-0.18333688711907944</v>
      </c>
      <c r="L773" s="16">
        <f t="shared" si="51"/>
        <v>-0.4190597857746185</v>
      </c>
      <c r="M773" s="16">
        <f t="shared" si="52"/>
        <v>0.18333688711907944</v>
      </c>
    </row>
    <row r="774" spans="1:13" x14ac:dyDescent="0.3">
      <c r="A774" t="s">
        <v>781</v>
      </c>
      <c r="B774" s="1">
        <v>3.3521810613358598</v>
      </c>
      <c r="C774" s="1">
        <v>2.26248219800899</v>
      </c>
      <c r="D774" s="1">
        <v>2.1867984352183099</v>
      </c>
      <c r="E774" s="1">
        <v>0.97360207423580702</v>
      </c>
      <c r="F774" s="1">
        <v>0.97360207423580702</v>
      </c>
      <c r="G774" s="1">
        <v>0.97360207423580702</v>
      </c>
      <c r="H774">
        <v>1477</v>
      </c>
      <c r="I774">
        <v>1145</v>
      </c>
      <c r="J774" s="16">
        <f t="shared" si="49"/>
        <v>-2.44307099383188</v>
      </c>
      <c r="K774" s="16">
        <f t="shared" si="50"/>
        <v>-1.3238263946642082</v>
      </c>
      <c r="L774" s="16">
        <f t="shared" si="51"/>
        <v>-1.2460905672728322</v>
      </c>
      <c r="M774" s="16">
        <f t="shared" si="52"/>
        <v>1.3238263946642082</v>
      </c>
    </row>
    <row r="775" spans="1:13" x14ac:dyDescent="0.3">
      <c r="A775" t="s">
        <v>782</v>
      </c>
      <c r="B775" s="1">
        <v>0.98673532314966905</v>
      </c>
      <c r="C775" s="1">
        <v>0.98673532314909496</v>
      </c>
      <c r="D775" s="1">
        <v>0.98673532314657797</v>
      </c>
      <c r="E775" s="1">
        <v>0.96748684210526303</v>
      </c>
      <c r="F775" s="1">
        <v>0.96748684210526303</v>
      </c>
      <c r="G775" s="1">
        <v>0.96748684210526303</v>
      </c>
      <c r="H775">
        <v>190</v>
      </c>
      <c r="I775">
        <v>190</v>
      </c>
      <c r="J775" s="16">
        <f t="shared" si="49"/>
        <v>-1.9895341421410022E-2</v>
      </c>
      <c r="K775" s="16">
        <f t="shared" si="50"/>
        <v>-1.9895341420816635E-2</v>
      </c>
      <c r="L775" s="16">
        <f t="shared" si="51"/>
        <v>-1.989534141821506E-2</v>
      </c>
      <c r="M775" s="16">
        <f t="shared" si="52"/>
        <v>1.9895341420816635E-2</v>
      </c>
    </row>
    <row r="776" spans="1:13" x14ac:dyDescent="0.3">
      <c r="A776" t="s">
        <v>783</v>
      </c>
      <c r="B776" s="1">
        <v>0.96322658046597198</v>
      </c>
      <c r="C776" s="1">
        <v>0.96915717911397803</v>
      </c>
      <c r="D776" s="1">
        <v>0.95814230502505005</v>
      </c>
      <c r="E776" s="1">
        <v>1.06740116120789</v>
      </c>
      <c r="F776" s="1">
        <v>1.06740116120789</v>
      </c>
      <c r="G776" s="1">
        <v>1.06740116120789</v>
      </c>
      <c r="H776">
        <v>1058</v>
      </c>
      <c r="I776">
        <v>861</v>
      </c>
      <c r="J776" s="16">
        <f t="shared" si="49"/>
        <v>9.7596465628754042E-2</v>
      </c>
      <c r="K776" s="16">
        <f t="shared" si="50"/>
        <v>9.2040355270681287E-2</v>
      </c>
      <c r="L776" s="16">
        <f t="shared" si="51"/>
        <v>0.10235969394974302</v>
      </c>
      <c r="M776" s="16">
        <f t="shared" si="52"/>
        <v>9.7596465628754042E-2</v>
      </c>
    </row>
    <row r="777" spans="1:13" x14ac:dyDescent="0.3">
      <c r="A777" t="s">
        <v>784</v>
      </c>
      <c r="B777" s="1">
        <v>1.0491711271934601</v>
      </c>
      <c r="C777" s="1">
        <v>0.95004993136259597</v>
      </c>
      <c r="D777" s="1">
        <v>0.95588273584374295</v>
      </c>
      <c r="E777" s="1">
        <v>1.0163504013864799</v>
      </c>
      <c r="F777" s="1">
        <v>1.0163504013864799</v>
      </c>
      <c r="G777" s="1">
        <v>1.0163504013864799</v>
      </c>
      <c r="H777">
        <v>677</v>
      </c>
      <c r="I777">
        <v>577</v>
      </c>
      <c r="J777" s="16">
        <f t="shared" si="49"/>
        <v>-3.2292726762548553E-2</v>
      </c>
      <c r="K777" s="16">
        <f t="shared" si="50"/>
        <v>6.5233870064338534E-2</v>
      </c>
      <c r="L777" s="16">
        <f t="shared" si="51"/>
        <v>5.9494900046527736E-2</v>
      </c>
      <c r="M777" s="16">
        <f t="shared" si="52"/>
        <v>5.9494900046527736E-2</v>
      </c>
    </row>
    <row r="778" spans="1:13" x14ac:dyDescent="0.3">
      <c r="A778" t="s">
        <v>785</v>
      </c>
      <c r="B778" s="1">
        <v>0.991713998574272</v>
      </c>
      <c r="C778" s="1">
        <v>0.98226492788243303</v>
      </c>
      <c r="D778" s="1">
        <v>0.97753360729850103</v>
      </c>
      <c r="E778" s="1">
        <v>1.0056763333333301</v>
      </c>
      <c r="F778" s="1">
        <v>1.0056763333333301</v>
      </c>
      <c r="G778" s="1">
        <v>1.0056763333333301</v>
      </c>
      <c r="H778">
        <v>212</v>
      </c>
      <c r="I778">
        <v>207</v>
      </c>
      <c r="J778" s="16">
        <f t="shared" si="49"/>
        <v>1.38835272306545E-2</v>
      </c>
      <c r="K778" s="16">
        <f t="shared" si="50"/>
        <v>2.3279264585355772E-2</v>
      </c>
      <c r="L778" s="16">
        <f t="shared" si="51"/>
        <v>2.7983880202837753E-2</v>
      </c>
      <c r="M778" s="16">
        <f t="shared" si="52"/>
        <v>2.3279264585355772E-2</v>
      </c>
    </row>
    <row r="779" spans="1:13" x14ac:dyDescent="0.3">
      <c r="A779" t="s">
        <v>786</v>
      </c>
      <c r="B779" s="1">
        <v>1.0040669548040499</v>
      </c>
      <c r="C779" s="1">
        <v>1.0040948047413101</v>
      </c>
      <c r="D779" s="1">
        <v>1.0040350698190901</v>
      </c>
      <c r="E779" s="1">
        <v>1.0023857888324801</v>
      </c>
      <c r="F779" s="1">
        <v>1.0023857888324801</v>
      </c>
      <c r="G779" s="1">
        <v>1.0023857888324801</v>
      </c>
      <c r="H779">
        <v>197</v>
      </c>
      <c r="I779">
        <v>197</v>
      </c>
      <c r="J779" s="16">
        <f t="shared" si="49"/>
        <v>-1.6771646109707797E-3</v>
      </c>
      <c r="K779" s="16">
        <f t="shared" si="50"/>
        <v>-1.7049482623058261E-3</v>
      </c>
      <c r="L779" s="16">
        <f t="shared" si="51"/>
        <v>-1.645355515794948E-3</v>
      </c>
      <c r="M779" s="16">
        <f t="shared" si="52"/>
        <v>1.6771646109707797E-3</v>
      </c>
    </row>
    <row r="780" spans="1:13" x14ac:dyDescent="0.3">
      <c r="A780" t="s">
        <v>787</v>
      </c>
      <c r="B780" s="1">
        <v>0.97740826150960103</v>
      </c>
      <c r="C780" s="1">
        <v>0.98173511542400005</v>
      </c>
      <c r="D780" s="1">
        <v>0.98175687049011495</v>
      </c>
      <c r="E780" s="1">
        <v>0.90595255474452496</v>
      </c>
      <c r="F780" s="1">
        <v>0.90595255474452496</v>
      </c>
      <c r="G780" s="1">
        <v>0.90595255474452496</v>
      </c>
      <c r="H780">
        <v>694</v>
      </c>
      <c r="I780">
        <v>685</v>
      </c>
      <c r="J780" s="16">
        <f t="shared" si="49"/>
        <v>-7.887356395305524E-2</v>
      </c>
      <c r="K780" s="16">
        <f t="shared" si="50"/>
        <v>-8.3649591010696439E-2</v>
      </c>
      <c r="L780" s="16">
        <f t="shared" si="51"/>
        <v>-8.3673604482484745E-2</v>
      </c>
      <c r="M780" s="16">
        <f t="shared" si="52"/>
        <v>8.3649591010696439E-2</v>
      </c>
    </row>
    <row r="781" spans="1:13" x14ac:dyDescent="0.3">
      <c r="A781" t="s">
        <v>788</v>
      </c>
      <c r="B781" s="1">
        <v>0.998104511637813</v>
      </c>
      <c r="C781" s="1">
        <v>0.99076170093724003</v>
      </c>
      <c r="D781" s="1">
        <v>1.0018768018375599</v>
      </c>
      <c r="E781" s="1">
        <v>1.0035606090908999</v>
      </c>
      <c r="F781" s="1">
        <v>1.0035606090908999</v>
      </c>
      <c r="G781" s="1">
        <v>1.0035606090908999</v>
      </c>
      <c r="H781">
        <v>545</v>
      </c>
      <c r="I781">
        <v>539</v>
      </c>
      <c r="J781" s="16">
        <f t="shared" si="49"/>
        <v>5.436739349534145E-3</v>
      </c>
      <c r="K781" s="16">
        <f t="shared" si="50"/>
        <v>1.2753497932978978E-2</v>
      </c>
      <c r="L781" s="16">
        <f t="shared" si="51"/>
        <v>1.6778331453895655E-3</v>
      </c>
      <c r="M781" s="16">
        <f t="shared" si="52"/>
        <v>5.436739349534145E-3</v>
      </c>
    </row>
    <row r="782" spans="1:13" x14ac:dyDescent="0.3">
      <c r="A782" t="s">
        <v>789</v>
      </c>
      <c r="B782" s="1">
        <v>0.96338932461391702</v>
      </c>
      <c r="C782" s="1">
        <v>0.93943605046401002</v>
      </c>
      <c r="D782" s="1">
        <v>0.93779888082767904</v>
      </c>
      <c r="E782" s="1">
        <v>1.0065871268181801</v>
      </c>
      <c r="F782" s="1">
        <v>1.0065871268181801</v>
      </c>
      <c r="G782" s="1">
        <v>1.0065871268181801</v>
      </c>
      <c r="H782">
        <v>495</v>
      </c>
      <c r="I782">
        <v>440</v>
      </c>
      <c r="J782" s="16">
        <f t="shared" si="49"/>
        <v>4.2915114899999988E-2</v>
      </c>
      <c r="K782" s="16">
        <f t="shared" si="50"/>
        <v>6.6711638332227111E-2</v>
      </c>
      <c r="L782" s="16">
        <f t="shared" si="51"/>
        <v>6.8338094296854904E-2</v>
      </c>
      <c r="M782" s="16">
        <f t="shared" si="52"/>
        <v>6.6711638332227111E-2</v>
      </c>
    </row>
    <row r="783" spans="1:13" x14ac:dyDescent="0.3">
      <c r="A783" t="s">
        <v>790</v>
      </c>
      <c r="B783" s="1">
        <v>0.96998633743014395</v>
      </c>
      <c r="C783" s="1">
        <v>0.92329039053657502</v>
      </c>
      <c r="D783" s="1">
        <v>0.93077683667297395</v>
      </c>
      <c r="E783" s="1">
        <v>1.0054121258181801</v>
      </c>
      <c r="F783" s="1">
        <v>1.0054121258181801</v>
      </c>
      <c r="G783" s="1">
        <v>1.0054121258181801</v>
      </c>
      <c r="H783">
        <v>664</v>
      </c>
      <c r="I783">
        <v>550</v>
      </c>
      <c r="J783" s="16">
        <f t="shared" si="49"/>
        <v>3.5235091638871438E-2</v>
      </c>
      <c r="K783" s="16">
        <f t="shared" si="50"/>
        <v>8.1679674605850183E-2</v>
      </c>
      <c r="L783" s="16">
        <f t="shared" si="51"/>
        <v>7.4233527952002498E-2</v>
      </c>
      <c r="M783" s="16">
        <f t="shared" si="52"/>
        <v>7.4233527952002498E-2</v>
      </c>
    </row>
    <row r="784" spans="1:13" x14ac:dyDescent="0.3">
      <c r="A784" t="s">
        <v>791</v>
      </c>
      <c r="B784" s="1">
        <v>1.0006001427898401</v>
      </c>
      <c r="C784" s="1">
        <v>0.96203580842187597</v>
      </c>
      <c r="D784" s="1">
        <v>1.0006081495433601</v>
      </c>
      <c r="E784" s="1">
        <v>1.0051895877499999</v>
      </c>
      <c r="F784" s="1">
        <v>1.0051895877499999</v>
      </c>
      <c r="G784" s="1">
        <v>1.0051895877499999</v>
      </c>
      <c r="H784">
        <v>416</v>
      </c>
      <c r="I784">
        <v>400</v>
      </c>
      <c r="J784" s="16">
        <f t="shared" si="49"/>
        <v>4.565750596793111E-3</v>
      </c>
      <c r="K784" s="16">
        <f t="shared" si="50"/>
        <v>4.2930985213166246E-2</v>
      </c>
      <c r="L784" s="16">
        <f t="shared" si="51"/>
        <v>4.5577851804999561E-3</v>
      </c>
      <c r="M784" s="16">
        <f t="shared" si="52"/>
        <v>4.565750596793111E-3</v>
      </c>
    </row>
    <row r="785" spans="1:13" x14ac:dyDescent="0.3">
      <c r="A785" t="s">
        <v>792</v>
      </c>
      <c r="B785" s="1">
        <v>1.00098844877757</v>
      </c>
      <c r="C785" s="1">
        <v>0.99871783518017199</v>
      </c>
      <c r="D785" s="1">
        <v>0.998686524552027</v>
      </c>
      <c r="E785" s="1">
        <v>1.0030825643518499</v>
      </c>
      <c r="F785" s="1">
        <v>1.0030825643518499</v>
      </c>
      <c r="G785" s="1">
        <v>1.0030825643518499</v>
      </c>
      <c r="H785">
        <v>437</v>
      </c>
      <c r="I785">
        <v>432</v>
      </c>
      <c r="J785" s="16">
        <f t="shared" si="49"/>
        <v>2.0876801658227351E-3</v>
      </c>
      <c r="K785" s="16">
        <f t="shared" si="50"/>
        <v>4.3513159602153652E-3</v>
      </c>
      <c r="L785" s="16">
        <f t="shared" si="51"/>
        <v>4.3825303679398374E-3</v>
      </c>
      <c r="M785" s="16">
        <f t="shared" si="52"/>
        <v>4.3513159602153652E-3</v>
      </c>
    </row>
    <row r="786" spans="1:13" x14ac:dyDescent="0.3">
      <c r="A786" t="s">
        <v>793</v>
      </c>
      <c r="B786" s="1">
        <v>0.99128759506724395</v>
      </c>
      <c r="C786" s="1">
        <v>2.5307946886117798</v>
      </c>
      <c r="D786" s="1">
        <v>1.11428393535031</v>
      </c>
      <c r="E786" s="1">
        <v>0.97460925349922201</v>
      </c>
      <c r="F786" s="1">
        <v>0.97460925349922201</v>
      </c>
      <c r="G786" s="1">
        <v>0.97460925349922201</v>
      </c>
      <c r="H786">
        <v>785</v>
      </c>
      <c r="I786">
        <v>643</v>
      </c>
      <c r="J786" s="16">
        <f t="shared" si="49"/>
        <v>-1.7112849593968339E-2</v>
      </c>
      <c r="K786" s="16">
        <f t="shared" si="50"/>
        <v>-1.5967275392935718</v>
      </c>
      <c r="L786" s="16">
        <f t="shared" si="51"/>
        <v>-0.14331351908429166</v>
      </c>
      <c r="M786" s="16">
        <f t="shared" si="52"/>
        <v>0.14331351908429166</v>
      </c>
    </row>
    <row r="787" spans="1:13" x14ac:dyDescent="0.3">
      <c r="A787" t="s">
        <v>794</v>
      </c>
      <c r="B787" s="1">
        <v>0.93346025764636198</v>
      </c>
      <c r="C787" s="1">
        <v>0.90197108293550998</v>
      </c>
      <c r="D787" s="1">
        <v>0.93337385614499402</v>
      </c>
      <c r="E787" s="1">
        <v>1.0057838465489499</v>
      </c>
      <c r="F787" s="1">
        <v>1.0057838465489499</v>
      </c>
      <c r="G787" s="1">
        <v>1.0057838465489499</v>
      </c>
      <c r="H787">
        <v>795</v>
      </c>
      <c r="I787">
        <v>623</v>
      </c>
      <c r="J787" s="16">
        <f t="shared" si="49"/>
        <v>7.1907685881757763E-2</v>
      </c>
      <c r="K787" s="16">
        <f t="shared" si="50"/>
        <v>0.10321577938405231</v>
      </c>
      <c r="L787" s="16">
        <f t="shared" si="51"/>
        <v>7.1993590523857981E-2</v>
      </c>
      <c r="M787" s="16">
        <f t="shared" si="52"/>
        <v>7.1993590523857981E-2</v>
      </c>
    </row>
    <row r="788" spans="1:13" x14ac:dyDescent="0.3">
      <c r="A788" t="s">
        <v>795</v>
      </c>
      <c r="B788" s="1">
        <v>1.0325557147770701</v>
      </c>
      <c r="C788" s="1">
        <v>1.2509337203961</v>
      </c>
      <c r="D788" s="1">
        <v>0.97489546395625004</v>
      </c>
      <c r="E788" s="1">
        <v>0.97083692528735599</v>
      </c>
      <c r="F788" s="1">
        <v>0.97083692528735599</v>
      </c>
      <c r="G788" s="1">
        <v>0.97083692528735599</v>
      </c>
      <c r="H788">
        <v>1120</v>
      </c>
      <c r="I788">
        <v>1044</v>
      </c>
      <c r="J788" s="16">
        <f t="shared" si="49"/>
        <v>-6.357276683872122E-2</v>
      </c>
      <c r="K788" s="16">
        <f t="shared" si="50"/>
        <v>-0.28851065283269761</v>
      </c>
      <c r="L788" s="16">
        <f t="shared" si="51"/>
        <v>-4.1804535480485291E-3</v>
      </c>
      <c r="M788" s="16">
        <f t="shared" si="52"/>
        <v>6.357276683872122E-2</v>
      </c>
    </row>
    <row r="789" spans="1:13" x14ac:dyDescent="0.3">
      <c r="A789" t="s">
        <v>796</v>
      </c>
      <c r="B789" s="1">
        <v>0.99924706234097505</v>
      </c>
      <c r="C789" s="1">
        <v>0.99924701353671397</v>
      </c>
      <c r="D789" s="1">
        <v>0.99924315814185705</v>
      </c>
      <c r="E789" s="1">
        <v>1.02075835099999</v>
      </c>
      <c r="F789" s="1">
        <v>1.02075835099999</v>
      </c>
      <c r="G789" s="1">
        <v>1.02075835099999</v>
      </c>
      <c r="H789">
        <v>300</v>
      </c>
      <c r="I789">
        <v>300</v>
      </c>
      <c r="J789" s="16">
        <f t="shared" si="49"/>
        <v>2.107383068474664E-2</v>
      </c>
      <c r="K789" s="16">
        <f t="shared" si="50"/>
        <v>2.1073878496514264E-2</v>
      </c>
      <c r="L789" s="16">
        <f t="shared" si="51"/>
        <v>2.1077655487271325E-2</v>
      </c>
      <c r="M789" s="16">
        <f t="shared" si="52"/>
        <v>2.1073878496514264E-2</v>
      </c>
    </row>
    <row r="790" spans="1:13" x14ac:dyDescent="0.3">
      <c r="A790" t="s">
        <v>797</v>
      </c>
      <c r="B790" s="1">
        <v>0.99008137666393203</v>
      </c>
      <c r="C790" s="1">
        <v>0.98667217837178001</v>
      </c>
      <c r="D790" s="1">
        <v>0.95583610309661404</v>
      </c>
      <c r="E790" s="1">
        <v>1.0051899337455801</v>
      </c>
      <c r="F790" s="1">
        <v>1.0051899337455801</v>
      </c>
      <c r="G790" s="1">
        <v>1.0051899337455801</v>
      </c>
      <c r="H790">
        <v>588</v>
      </c>
      <c r="I790">
        <v>566</v>
      </c>
      <c r="J790" s="16">
        <f t="shared" si="49"/>
        <v>1.5030549525451293E-2</v>
      </c>
      <c r="K790" s="16">
        <f t="shared" si="50"/>
        <v>1.8422145658381645E-2</v>
      </c>
      <c r="L790" s="16">
        <f t="shared" si="51"/>
        <v>4.9099010039885461E-2</v>
      </c>
      <c r="M790" s="16">
        <f t="shared" si="52"/>
        <v>1.8422145658381645E-2</v>
      </c>
    </row>
    <row r="791" spans="1:13" x14ac:dyDescent="0.3">
      <c r="A791" t="s">
        <v>798</v>
      </c>
      <c r="B791" s="1">
        <v>1.0164019113149401</v>
      </c>
      <c r="C791" s="1">
        <v>1.01640191342438</v>
      </c>
      <c r="D791" s="1">
        <v>1.01640191345437</v>
      </c>
      <c r="E791" s="1">
        <v>1.0087037111111099</v>
      </c>
      <c r="F791" s="1">
        <v>1.0087037111111099</v>
      </c>
      <c r="G791" s="1">
        <v>1.0087037111111099</v>
      </c>
      <c r="H791">
        <v>288</v>
      </c>
      <c r="I791">
        <v>288</v>
      </c>
      <c r="J791" s="16">
        <f t="shared" si="49"/>
        <v>-7.6317754351775133E-3</v>
      </c>
      <c r="K791" s="16">
        <f t="shared" si="50"/>
        <v>-7.6317775264159345E-3</v>
      </c>
      <c r="L791" s="16">
        <f t="shared" si="51"/>
        <v>-7.6317775561471728E-3</v>
      </c>
      <c r="M791" s="16">
        <f t="shared" si="52"/>
        <v>7.6317775264159345E-3</v>
      </c>
    </row>
    <row r="792" spans="1:13" x14ac:dyDescent="0.3">
      <c r="A792" t="s">
        <v>799</v>
      </c>
      <c r="B792" s="1">
        <v>0.98968529329226396</v>
      </c>
      <c r="C792" s="1">
        <v>0.96848890321169701</v>
      </c>
      <c r="D792" s="1">
        <v>0.95795227375282699</v>
      </c>
      <c r="E792" s="1">
        <v>1.0083241561068701</v>
      </c>
      <c r="F792" s="1">
        <v>1.0083241561068701</v>
      </c>
      <c r="G792" s="1">
        <v>1.0083241561068701</v>
      </c>
      <c r="H792">
        <v>283</v>
      </c>
      <c r="I792">
        <v>262</v>
      </c>
      <c r="J792" s="16">
        <f t="shared" si="49"/>
        <v>1.8484990865011715E-2</v>
      </c>
      <c r="K792" s="16">
        <f t="shared" si="50"/>
        <v>3.950639549187894E-2</v>
      </c>
      <c r="L792" s="16">
        <f t="shared" si="51"/>
        <v>4.9956040474650992E-2</v>
      </c>
      <c r="M792" s="16">
        <f t="shared" si="52"/>
        <v>3.950639549187894E-2</v>
      </c>
    </row>
    <row r="793" spans="1:13" x14ac:dyDescent="0.3">
      <c r="A793" t="s">
        <v>800</v>
      </c>
      <c r="B793" s="1">
        <v>1.00352699401638</v>
      </c>
      <c r="C793" s="1">
        <v>1.0035270257704401</v>
      </c>
      <c r="D793" s="1">
        <v>1.0035421721793201</v>
      </c>
      <c r="E793" s="1">
        <v>1.0034795018223199</v>
      </c>
      <c r="F793" s="1">
        <v>1.0034795018223199</v>
      </c>
      <c r="G793" s="1">
        <v>1.0034795018223199</v>
      </c>
      <c r="H793">
        <v>439</v>
      </c>
      <c r="I793">
        <v>439</v>
      </c>
      <c r="J793" s="16">
        <f t="shared" si="49"/>
        <v>-4.7327517875390347E-5</v>
      </c>
      <c r="K793" s="16">
        <f t="shared" si="50"/>
        <v>-4.7359161830239854E-5</v>
      </c>
      <c r="L793" s="16">
        <f t="shared" si="51"/>
        <v>-6.2453051493656947E-5</v>
      </c>
      <c r="M793" s="16">
        <f t="shared" si="52"/>
        <v>4.7359161830239854E-5</v>
      </c>
    </row>
    <row r="794" spans="1:13" x14ac:dyDescent="0.3">
      <c r="A794" t="s">
        <v>801</v>
      </c>
      <c r="B794" s="1">
        <v>0.98925895585408496</v>
      </c>
      <c r="C794" s="1">
        <v>0.98481017805510895</v>
      </c>
      <c r="D794" s="1">
        <v>0.98926024787798705</v>
      </c>
      <c r="E794" s="1">
        <v>0.96306501116071397</v>
      </c>
      <c r="F794" s="1">
        <v>0.96306501116071397</v>
      </c>
      <c r="G794" s="1">
        <v>0.96306501116071397</v>
      </c>
      <c r="H794">
        <v>450</v>
      </c>
      <c r="I794">
        <v>448</v>
      </c>
      <c r="J794" s="16">
        <f t="shared" si="49"/>
        <v>-2.7198521792211404E-2</v>
      </c>
      <c r="K794" s="16">
        <f t="shared" si="50"/>
        <v>-2.2579126686564054E-2</v>
      </c>
      <c r="L794" s="16">
        <f t="shared" si="51"/>
        <v>-2.7199863367169598E-2</v>
      </c>
      <c r="M794" s="16">
        <f t="shared" si="52"/>
        <v>2.7198521792211404E-2</v>
      </c>
    </row>
    <row r="795" spans="1:13" x14ac:dyDescent="0.3">
      <c r="A795" t="s">
        <v>802</v>
      </c>
      <c r="B795" s="1">
        <v>0.93611243420315604</v>
      </c>
      <c r="C795" s="1">
        <v>0.96201738930386804</v>
      </c>
      <c r="D795" s="1">
        <v>0.98783823775098301</v>
      </c>
      <c r="E795" s="1">
        <v>1.0034944267657899</v>
      </c>
      <c r="F795" s="1">
        <v>1.0034944267657899</v>
      </c>
      <c r="G795" s="1">
        <v>1.0034944267657899</v>
      </c>
      <c r="H795">
        <v>311</v>
      </c>
      <c r="I795">
        <v>269</v>
      </c>
      <c r="J795" s="16">
        <f t="shared" si="49"/>
        <v>6.7147351061831534E-2</v>
      </c>
      <c r="K795" s="16">
        <f t="shared" si="50"/>
        <v>4.1332603705234526E-2</v>
      </c>
      <c r="L795" s="16">
        <f t="shared" si="51"/>
        <v>1.5601670121144568E-2</v>
      </c>
      <c r="M795" s="16">
        <f t="shared" si="52"/>
        <v>4.1332603705234526E-2</v>
      </c>
    </row>
    <row r="796" spans="1:13" x14ac:dyDescent="0.3">
      <c r="A796" t="s">
        <v>803</v>
      </c>
      <c r="B796" s="1">
        <v>1.3315869109041401</v>
      </c>
      <c r="C796" s="1">
        <v>2.6644776706132398</v>
      </c>
      <c r="D796" s="1">
        <v>2.3170409822446798</v>
      </c>
      <c r="E796" s="1">
        <v>1.0034482310631201</v>
      </c>
      <c r="F796" s="1">
        <v>1.0034482310631201</v>
      </c>
      <c r="G796" s="1">
        <v>1.0034482310631201</v>
      </c>
      <c r="H796">
        <v>710</v>
      </c>
      <c r="I796">
        <v>602</v>
      </c>
      <c r="J796" s="16">
        <f t="shared" si="49"/>
        <v>-0.32701107011107883</v>
      </c>
      <c r="K796" s="16">
        <f t="shared" si="50"/>
        <v>-1.6553215085050419</v>
      </c>
      <c r="L796" s="16">
        <f t="shared" si="51"/>
        <v>-1.309078745188331</v>
      </c>
      <c r="M796" s="16">
        <f t="shared" si="52"/>
        <v>1.309078745188331</v>
      </c>
    </row>
    <row r="797" spans="1:13" x14ac:dyDescent="0.3">
      <c r="A797" t="s">
        <v>804</v>
      </c>
      <c r="B797" s="1">
        <v>0.90206534096472801</v>
      </c>
      <c r="C797" s="1">
        <v>0.89630327771769502</v>
      </c>
      <c r="D797" s="1">
        <v>0.92305435993876805</v>
      </c>
      <c r="E797" s="1">
        <v>1.0058581066155301</v>
      </c>
      <c r="F797" s="1">
        <v>1.0058581066155301</v>
      </c>
      <c r="G797" s="1">
        <v>1.0058581066155301</v>
      </c>
      <c r="H797">
        <v>1452</v>
      </c>
      <c r="I797">
        <v>1043</v>
      </c>
      <c r="J797" s="16">
        <f t="shared" si="49"/>
        <v>0.10318827771845446</v>
      </c>
      <c r="K797" s="16">
        <f t="shared" si="50"/>
        <v>0.10891678277213537</v>
      </c>
      <c r="L797" s="16">
        <f t="shared" si="51"/>
        <v>8.232149856143893E-2</v>
      </c>
      <c r="M797" s="16">
        <f t="shared" si="52"/>
        <v>0.10318827771845446</v>
      </c>
    </row>
    <row r="798" spans="1:13" x14ac:dyDescent="0.3">
      <c r="A798" t="s">
        <v>805</v>
      </c>
      <c r="B798" s="1">
        <v>0.96889982657056295</v>
      </c>
      <c r="C798" s="1">
        <v>0.952036832267393</v>
      </c>
      <c r="D798" s="1">
        <v>0.95682255522036597</v>
      </c>
      <c r="E798" s="1">
        <v>1.00399219807162</v>
      </c>
      <c r="F798" s="1">
        <v>1.00399219807162</v>
      </c>
      <c r="G798" s="1">
        <v>1.00399219807162</v>
      </c>
      <c r="H798">
        <v>417</v>
      </c>
      <c r="I798">
        <v>363</v>
      </c>
      <c r="J798" s="16">
        <f t="shared" si="49"/>
        <v>3.4952832869079443E-2</v>
      </c>
      <c r="K798" s="16">
        <f t="shared" si="50"/>
        <v>5.1748774446672294E-2</v>
      </c>
      <c r="L798" s="16">
        <f t="shared" si="51"/>
        <v>4.6982081077774636E-2</v>
      </c>
      <c r="M798" s="16">
        <f t="shared" si="52"/>
        <v>4.6982081077774636E-2</v>
      </c>
    </row>
    <row r="799" spans="1:13" x14ac:dyDescent="0.3">
      <c r="A799" t="s">
        <v>806</v>
      </c>
      <c r="B799" s="1">
        <v>0.96614844883550599</v>
      </c>
      <c r="C799" s="1">
        <v>0.96092984712897</v>
      </c>
      <c r="D799" s="1">
        <v>0.96541155295968595</v>
      </c>
      <c r="E799" s="1">
        <v>0.947218025662251</v>
      </c>
      <c r="F799" s="1">
        <v>0.947218025662251</v>
      </c>
      <c r="G799" s="1">
        <v>0.947218025662251</v>
      </c>
      <c r="H799">
        <v>1345</v>
      </c>
      <c r="I799">
        <v>1208</v>
      </c>
      <c r="J799" s="16">
        <f t="shared" si="49"/>
        <v>-1.9985286027490577E-2</v>
      </c>
      <c r="K799" s="16">
        <f t="shared" si="50"/>
        <v>-1.4475887383089378E-2</v>
      </c>
      <c r="L799" s="16">
        <f t="shared" si="51"/>
        <v>-1.9207327990527715E-2</v>
      </c>
      <c r="M799" s="16">
        <f t="shared" si="52"/>
        <v>1.9207327990527715E-2</v>
      </c>
    </row>
    <row r="800" spans="1:13" x14ac:dyDescent="0.3">
      <c r="A800" t="s">
        <v>807</v>
      </c>
      <c r="B800" s="1">
        <v>1.00462085186244</v>
      </c>
      <c r="C800" s="1">
        <v>1.0091901807431101</v>
      </c>
      <c r="D800" s="1">
        <v>1.0114337363222601</v>
      </c>
      <c r="E800" s="1">
        <v>1.00451923461538</v>
      </c>
      <c r="F800" s="1">
        <v>1.00451923461538</v>
      </c>
      <c r="G800" s="1">
        <v>1.00451923461538</v>
      </c>
      <c r="H800">
        <v>446</v>
      </c>
      <c r="I800">
        <v>442</v>
      </c>
      <c r="J800" s="16">
        <f t="shared" si="49"/>
        <v>-1.0116008092064616E-4</v>
      </c>
      <c r="K800" s="16">
        <f t="shared" si="50"/>
        <v>-4.6499319941031994E-3</v>
      </c>
      <c r="L800" s="16">
        <f t="shared" si="51"/>
        <v>-6.8833940342890683E-3</v>
      </c>
      <c r="M800" s="16">
        <f t="shared" si="52"/>
        <v>4.6499319941031994E-3</v>
      </c>
    </row>
    <row r="801" spans="1:13" x14ac:dyDescent="0.3">
      <c r="A801" t="s">
        <v>808</v>
      </c>
      <c r="B801" s="1">
        <v>1.00133117246342</v>
      </c>
      <c r="C801" s="1">
        <v>1.0013311724648499</v>
      </c>
      <c r="D801" s="1">
        <v>1.0013311724640499</v>
      </c>
      <c r="E801" s="1">
        <v>1.00451412813559</v>
      </c>
      <c r="F801" s="1">
        <v>1.00451412813559</v>
      </c>
      <c r="G801" s="1">
        <v>1.00451412813559</v>
      </c>
      <c r="H801">
        <v>295</v>
      </c>
      <c r="I801">
        <v>295</v>
      </c>
      <c r="J801" s="16">
        <f t="shared" si="49"/>
        <v>3.1686519711552003E-3</v>
      </c>
      <c r="K801" s="16">
        <f t="shared" si="50"/>
        <v>3.1686519697316589E-3</v>
      </c>
      <c r="L801" s="16">
        <f t="shared" si="51"/>
        <v>3.1686519705280904E-3</v>
      </c>
      <c r="M801" s="16">
        <f t="shared" si="52"/>
        <v>3.1686519705280904E-3</v>
      </c>
    </row>
    <row r="802" spans="1:13" x14ac:dyDescent="0.3">
      <c r="A802" t="s">
        <v>809</v>
      </c>
      <c r="B802" s="1">
        <v>0.99864995657395805</v>
      </c>
      <c r="C802" s="1">
        <v>0.93575408835473095</v>
      </c>
      <c r="D802" s="1">
        <v>0.99480190129259305</v>
      </c>
      <c r="E802" s="1">
        <v>1.00413150843881</v>
      </c>
      <c r="F802" s="1">
        <v>1.00413150843881</v>
      </c>
      <c r="G802" s="1">
        <v>1.00413150843881</v>
      </c>
      <c r="H802">
        <v>254</v>
      </c>
      <c r="I802">
        <v>237</v>
      </c>
      <c r="J802" s="16">
        <f t="shared" si="49"/>
        <v>5.4589979686769608E-3</v>
      </c>
      <c r="K802" s="16">
        <f t="shared" si="50"/>
        <v>6.8096080552626032E-2</v>
      </c>
      <c r="L802" s="16">
        <f t="shared" si="51"/>
        <v>9.2912203907657073E-3</v>
      </c>
      <c r="M802" s="16">
        <f t="shared" si="52"/>
        <v>9.2912203907657073E-3</v>
      </c>
    </row>
    <row r="803" spans="1:13" x14ac:dyDescent="0.3">
      <c r="A803" t="s">
        <v>810</v>
      </c>
      <c r="B803" s="1">
        <v>0.98760399232317497</v>
      </c>
      <c r="C803" s="1">
        <v>0.98760399425888201</v>
      </c>
      <c r="D803" s="1">
        <v>0.98760391041952</v>
      </c>
      <c r="E803" s="1">
        <v>0.95907762096774196</v>
      </c>
      <c r="F803" s="1">
        <v>0.95907762096774196</v>
      </c>
      <c r="G803" s="1">
        <v>0.95907762096774196</v>
      </c>
      <c r="H803">
        <v>496</v>
      </c>
      <c r="I803">
        <v>496</v>
      </c>
      <c r="J803" s="16">
        <f t="shared" si="49"/>
        <v>-2.9743548104739354E-2</v>
      </c>
      <c r="K803" s="16">
        <f t="shared" si="50"/>
        <v>-2.9743550123040061E-2</v>
      </c>
      <c r="L803" s="16">
        <f t="shared" si="51"/>
        <v>-2.9743462706380369E-2</v>
      </c>
      <c r="M803" s="16">
        <f t="shared" si="52"/>
        <v>2.9743548104739354E-2</v>
      </c>
    </row>
    <row r="804" spans="1:13" x14ac:dyDescent="0.3">
      <c r="A804" t="s">
        <v>811</v>
      </c>
      <c r="B804" s="1">
        <v>1.00002366113077</v>
      </c>
      <c r="C804" s="1">
        <v>0.97551743783090406</v>
      </c>
      <c r="D804" s="1">
        <v>1.0000073043176201</v>
      </c>
      <c r="E804" s="1">
        <v>1.0036833887147301</v>
      </c>
      <c r="F804" s="1">
        <v>1.0036833887147301</v>
      </c>
      <c r="G804" s="1">
        <v>1.0036833887147301</v>
      </c>
      <c r="H804">
        <v>327</v>
      </c>
      <c r="I804">
        <v>319</v>
      </c>
      <c r="J804" s="16">
        <f t="shared" si="49"/>
        <v>3.6462968552727808E-3</v>
      </c>
      <c r="K804" s="16">
        <f t="shared" si="50"/>
        <v>2.806258547318792E-2</v>
      </c>
      <c r="L804" s="16">
        <f t="shared" si="51"/>
        <v>3.6625936410259827E-3</v>
      </c>
      <c r="M804" s="16">
        <f t="shared" si="52"/>
        <v>3.6625936410259827E-3</v>
      </c>
    </row>
    <row r="805" spans="1:13" x14ac:dyDescent="0.3">
      <c r="A805" t="s">
        <v>812</v>
      </c>
      <c r="B805" s="1">
        <v>1.0001870369880399</v>
      </c>
      <c r="C805" s="1">
        <v>1.00017158319526</v>
      </c>
      <c r="D805" s="1">
        <v>1.00017269529537</v>
      </c>
      <c r="E805" s="1">
        <v>1.0029746860759401</v>
      </c>
      <c r="F805" s="1">
        <v>1.0029746860759401</v>
      </c>
      <c r="G805" s="1">
        <v>1.0029746860759401</v>
      </c>
      <c r="H805">
        <v>237</v>
      </c>
      <c r="I805">
        <v>237</v>
      </c>
      <c r="J805" s="16">
        <f t="shared" si="49"/>
        <v>2.7793813010442456E-3</v>
      </c>
      <c r="K805" s="16">
        <f t="shared" si="50"/>
        <v>2.794789259983227E-3</v>
      </c>
      <c r="L805" s="16">
        <f t="shared" si="51"/>
        <v>2.7936804582104203E-3</v>
      </c>
      <c r="M805" s="16">
        <f t="shared" si="52"/>
        <v>2.7936804582104203E-3</v>
      </c>
    </row>
    <row r="806" spans="1:13" x14ac:dyDescent="0.3">
      <c r="A806" t="s">
        <v>813</v>
      </c>
      <c r="B806" s="1">
        <v>0.99861988965054904</v>
      </c>
      <c r="C806" s="1">
        <v>0.97740727047371601</v>
      </c>
      <c r="D806" s="1">
        <v>0.99863633261722695</v>
      </c>
      <c r="E806" s="1">
        <v>1.00345061315789</v>
      </c>
      <c r="F806" s="1">
        <v>1.00345061315789</v>
      </c>
      <c r="G806" s="1">
        <v>1.00345061315789</v>
      </c>
      <c r="H806">
        <v>893</v>
      </c>
      <c r="I806">
        <v>874</v>
      </c>
      <c r="J806" s="16">
        <f t="shared" si="49"/>
        <v>4.8141118695802006E-3</v>
      </c>
      <c r="K806" s="16">
        <f t="shared" si="50"/>
        <v>2.595378620798762E-2</v>
      </c>
      <c r="L806" s="16">
        <f t="shared" si="51"/>
        <v>4.7977254461107257E-3</v>
      </c>
      <c r="M806" s="16">
        <f t="shared" si="52"/>
        <v>4.8141118695802006E-3</v>
      </c>
    </row>
    <row r="807" spans="1:13" x14ac:dyDescent="0.3">
      <c r="A807" t="s">
        <v>814</v>
      </c>
      <c r="B807" s="1">
        <v>0.92305280752064101</v>
      </c>
      <c r="C807" s="1">
        <v>0.90326258759594702</v>
      </c>
      <c r="D807" s="1">
        <v>0.93045775761147698</v>
      </c>
      <c r="E807" s="1">
        <v>1.0090541</v>
      </c>
      <c r="F807" s="1">
        <v>1.0090541</v>
      </c>
      <c r="G807" s="1">
        <v>1.0090541</v>
      </c>
      <c r="H807">
        <v>406</v>
      </c>
      <c r="I807">
        <v>305</v>
      </c>
      <c r="J807" s="16">
        <f t="shared" si="49"/>
        <v>8.5229615021988364E-2</v>
      </c>
      <c r="K807" s="16">
        <f t="shared" si="50"/>
        <v>0.10484226009690951</v>
      </c>
      <c r="L807" s="16">
        <f t="shared" si="51"/>
        <v>7.7891108503025733E-2</v>
      </c>
      <c r="M807" s="16">
        <f t="shared" si="52"/>
        <v>8.5229615021988364E-2</v>
      </c>
    </row>
    <row r="808" spans="1:13" x14ac:dyDescent="0.3">
      <c r="A808" t="s">
        <v>815</v>
      </c>
      <c r="B808" s="1"/>
      <c r="C808" s="1"/>
      <c r="D808" s="1"/>
      <c r="E808" s="1">
        <v>1.0046272894514701</v>
      </c>
      <c r="F808" s="1">
        <v>1.0046272894514701</v>
      </c>
      <c r="G808" s="1">
        <v>1.0046272894514701</v>
      </c>
      <c r="H808">
        <v>673</v>
      </c>
      <c r="I808">
        <v>474</v>
      </c>
      <c r="J808" s="16">
        <f t="shared" si="49"/>
        <v>1</v>
      </c>
      <c r="K808" s="16">
        <f t="shared" si="50"/>
        <v>1</v>
      </c>
      <c r="L808" s="16">
        <f t="shared" si="51"/>
        <v>1</v>
      </c>
      <c r="M808" s="16">
        <f t="shared" si="52"/>
        <v>1</v>
      </c>
    </row>
    <row r="809" spans="1:13" x14ac:dyDescent="0.3">
      <c r="A809" t="s">
        <v>816</v>
      </c>
      <c r="B809" s="1">
        <v>0.98562864936452999</v>
      </c>
      <c r="C809" s="1">
        <v>0.98561029140272305</v>
      </c>
      <c r="D809" s="1">
        <v>0.98676571870721197</v>
      </c>
      <c r="E809" s="1">
        <v>1.0182288158264901</v>
      </c>
      <c r="F809" s="1">
        <v>1.0182288158264901</v>
      </c>
      <c r="G809" s="1">
        <v>1.0182288158264901</v>
      </c>
      <c r="H809">
        <v>858</v>
      </c>
      <c r="I809">
        <v>853</v>
      </c>
      <c r="J809" s="16">
        <f t="shared" si="49"/>
        <v>3.2016542799860472E-2</v>
      </c>
      <c r="K809" s="16">
        <f t="shared" si="50"/>
        <v>3.203457210871679E-2</v>
      </c>
      <c r="L809" s="16">
        <f t="shared" si="51"/>
        <v>3.0899829812555128E-2</v>
      </c>
      <c r="M809" s="16">
        <f t="shared" si="52"/>
        <v>3.2016542799860472E-2</v>
      </c>
    </row>
    <row r="810" spans="1:13" x14ac:dyDescent="0.3">
      <c r="A810" t="s">
        <v>817</v>
      </c>
      <c r="B810" s="1">
        <v>0.98628977123164996</v>
      </c>
      <c r="C810" s="1">
        <v>0.98628977132220497</v>
      </c>
      <c r="D810" s="1">
        <v>0.986289771453155</v>
      </c>
      <c r="E810" s="1">
        <v>0.96894114077669802</v>
      </c>
      <c r="F810" s="1">
        <v>0.96894114077669802</v>
      </c>
      <c r="G810" s="1">
        <v>0.96894114077669802</v>
      </c>
      <c r="H810">
        <v>412</v>
      </c>
      <c r="I810">
        <v>412</v>
      </c>
      <c r="J810" s="16">
        <f t="shared" si="49"/>
        <v>-1.7904730973695028E-2</v>
      </c>
      <c r="K810" s="16">
        <f t="shared" si="50"/>
        <v>-1.7904731067152728E-2</v>
      </c>
      <c r="L810" s="16">
        <f t="shared" si="51"/>
        <v>-1.7904731202300284E-2</v>
      </c>
      <c r="M810" s="16">
        <f t="shared" si="52"/>
        <v>1.7904731067152728E-2</v>
      </c>
    </row>
    <row r="811" spans="1:13" x14ac:dyDescent="0.3">
      <c r="A811" t="s">
        <v>818</v>
      </c>
      <c r="B811" s="1">
        <v>1.0189189091116899</v>
      </c>
      <c r="C811" s="1">
        <v>1.0596811805395501</v>
      </c>
      <c r="D811" s="1">
        <v>1.0383067325661901</v>
      </c>
      <c r="E811" s="1">
        <v>1.0459915832304501</v>
      </c>
      <c r="F811" s="1">
        <v>1.0459915832304501</v>
      </c>
      <c r="G811" s="1">
        <v>1.0459915832304501</v>
      </c>
      <c r="H811">
        <v>1056</v>
      </c>
      <c r="I811">
        <v>972</v>
      </c>
      <c r="J811" s="16">
        <f t="shared" si="49"/>
        <v>2.5882305893082463E-2</v>
      </c>
      <c r="K811" s="16">
        <f t="shared" si="50"/>
        <v>-1.3087674440764564E-2</v>
      </c>
      <c r="L811" s="16">
        <f t="shared" si="51"/>
        <v>7.3469526786496524E-3</v>
      </c>
      <c r="M811" s="16">
        <f t="shared" si="52"/>
        <v>7.3469526786496524E-3</v>
      </c>
    </row>
    <row r="812" spans="1:13" x14ac:dyDescent="0.3">
      <c r="A812" t="s">
        <v>819</v>
      </c>
      <c r="B812" s="1">
        <v>1.0026022195764701</v>
      </c>
      <c r="C812" s="1">
        <v>1.0024432604420801</v>
      </c>
      <c r="D812" s="1">
        <v>1.0024678349929099</v>
      </c>
      <c r="E812" s="1">
        <v>1.0025432922077899</v>
      </c>
      <c r="F812" s="1">
        <v>1.0025432922077899</v>
      </c>
      <c r="G812" s="1">
        <v>1.0025432922077899</v>
      </c>
      <c r="H812">
        <v>154</v>
      </c>
      <c r="I812">
        <v>154</v>
      </c>
      <c r="J812" s="16">
        <f t="shared" si="49"/>
        <v>-5.8777879357623227E-5</v>
      </c>
      <c r="K812" s="16">
        <f t="shared" si="50"/>
        <v>9.977800109713011E-5</v>
      </c>
      <c r="L812" s="16">
        <f t="shared" si="51"/>
        <v>7.5265791977753511E-5</v>
      </c>
      <c r="M812" s="16">
        <f t="shared" si="52"/>
        <v>7.5265791977753511E-5</v>
      </c>
    </row>
    <row r="813" spans="1:13" x14ac:dyDescent="0.3">
      <c r="A813" t="s">
        <v>820</v>
      </c>
      <c r="B813" s="1">
        <v>0.99909323165133002</v>
      </c>
      <c r="C813" s="1">
        <v>0.99911008697523696</v>
      </c>
      <c r="D813" s="1">
        <v>1.1619247602037299</v>
      </c>
      <c r="E813" s="1">
        <v>0.97719102443608996</v>
      </c>
      <c r="F813" s="1">
        <v>0.97719102443608996</v>
      </c>
      <c r="G813" s="1">
        <v>0.97719102443608996</v>
      </c>
      <c r="H813">
        <v>558</v>
      </c>
      <c r="I813">
        <v>532</v>
      </c>
      <c r="J813" s="16">
        <f t="shared" si="49"/>
        <v>-2.2413434699606678E-2</v>
      </c>
      <c r="K813" s="16">
        <f t="shared" si="50"/>
        <v>-2.2430683449836106E-2</v>
      </c>
      <c r="L813" s="16">
        <f t="shared" si="51"/>
        <v>-0.18904567392465021</v>
      </c>
      <c r="M813" s="16">
        <f t="shared" si="52"/>
        <v>2.2430683449836106E-2</v>
      </c>
    </row>
    <row r="814" spans="1:13" x14ac:dyDescent="0.3">
      <c r="A814" t="s">
        <v>821</v>
      </c>
      <c r="B814" s="1">
        <v>1.0038534401416299</v>
      </c>
      <c r="C814" s="1">
        <v>1.01979163873769</v>
      </c>
      <c r="D814" s="1">
        <v>1.02254745442406</v>
      </c>
      <c r="E814" s="1">
        <v>1.01751139146757</v>
      </c>
      <c r="F814" s="1">
        <v>1.01751139146757</v>
      </c>
      <c r="G814" s="1">
        <v>1.01751139146757</v>
      </c>
      <c r="H814">
        <v>924</v>
      </c>
      <c r="I814">
        <v>879</v>
      </c>
      <c r="J814" s="16">
        <f t="shared" si="49"/>
        <v>1.342289770951951E-2</v>
      </c>
      <c r="K814" s="16">
        <f t="shared" si="50"/>
        <v>-2.2410041688389988E-3</v>
      </c>
      <c r="L814" s="16">
        <f t="shared" si="51"/>
        <v>-4.949392211940234E-3</v>
      </c>
      <c r="M814" s="16">
        <f t="shared" si="52"/>
        <v>2.2410041688389988E-3</v>
      </c>
    </row>
    <row r="815" spans="1:13" x14ac:dyDescent="0.3">
      <c r="A815" t="s">
        <v>822</v>
      </c>
      <c r="B815" s="1">
        <v>0.97989903217015395</v>
      </c>
      <c r="C815" s="1">
        <v>0.97989879918760103</v>
      </c>
      <c r="D815" s="1">
        <v>0.98685412478050005</v>
      </c>
      <c r="E815" s="1">
        <v>1.00551643661971</v>
      </c>
      <c r="F815" s="1">
        <v>1.00551643661971</v>
      </c>
      <c r="G815" s="1">
        <v>1.00551643661971</v>
      </c>
      <c r="H815">
        <v>144</v>
      </c>
      <c r="I815">
        <v>142</v>
      </c>
      <c r="J815" s="16">
        <f t="shared" si="49"/>
        <v>2.5476862949824326E-2</v>
      </c>
      <c r="K815" s="16">
        <f t="shared" si="50"/>
        <v>2.5477094654194767E-2</v>
      </c>
      <c r="L815" s="16">
        <f t="shared" si="51"/>
        <v>1.8559927177270123E-2</v>
      </c>
      <c r="M815" s="16">
        <f t="shared" si="52"/>
        <v>2.5476862949824326E-2</v>
      </c>
    </row>
    <row r="816" spans="1:13" x14ac:dyDescent="0.3">
      <c r="A816" t="s">
        <v>823</v>
      </c>
      <c r="B816" s="1">
        <v>1.0019754708992099</v>
      </c>
      <c r="C816" s="1">
        <v>0.95010934299058403</v>
      </c>
      <c r="D816" s="1">
        <v>0.93526291942169004</v>
      </c>
      <c r="E816" s="1">
        <v>1.00634544301675</v>
      </c>
      <c r="F816" s="1">
        <v>1.00634544301675</v>
      </c>
      <c r="G816" s="1">
        <v>1.00634544301675</v>
      </c>
      <c r="H816">
        <v>406</v>
      </c>
      <c r="I816">
        <v>358</v>
      </c>
      <c r="J816" s="16">
        <f t="shared" si="49"/>
        <v>4.3424175543937482E-3</v>
      </c>
      <c r="K816" s="16">
        <f t="shared" si="50"/>
        <v>5.5881507107127582E-2</v>
      </c>
      <c r="L816" s="16">
        <f t="shared" si="51"/>
        <v>7.063431755796884E-2</v>
      </c>
      <c r="M816" s="16">
        <f t="shared" si="52"/>
        <v>5.5881507107127582E-2</v>
      </c>
    </row>
    <row r="817" spans="1:13" x14ac:dyDescent="0.3">
      <c r="A817" t="s">
        <v>824</v>
      </c>
      <c r="B817" s="1">
        <v>0.97130258066795505</v>
      </c>
      <c r="C817" s="1">
        <v>0.94995458523399001</v>
      </c>
      <c r="D817" s="1">
        <v>3.3751427150443201</v>
      </c>
      <c r="E817" s="1">
        <v>1.01912820190311</v>
      </c>
      <c r="F817" s="1">
        <v>1.01912820190311</v>
      </c>
      <c r="G817" s="1">
        <v>1.01912820190311</v>
      </c>
      <c r="H817">
        <v>671</v>
      </c>
      <c r="I817">
        <v>578</v>
      </c>
      <c r="J817" s="16">
        <f t="shared" si="49"/>
        <v>4.6927973483459583E-2</v>
      </c>
      <c r="K817" s="16">
        <f t="shared" si="50"/>
        <v>6.7875284522541809E-2</v>
      </c>
      <c r="L817" s="16">
        <f t="shared" si="51"/>
        <v>-2.3117940497982605</v>
      </c>
      <c r="M817" s="16">
        <f t="shared" si="52"/>
        <v>4.6927973483459583E-2</v>
      </c>
    </row>
    <row r="818" spans="1:13" x14ac:dyDescent="0.3">
      <c r="A818" t="s">
        <v>825</v>
      </c>
      <c r="B818" s="1">
        <v>0.99674570014254904</v>
      </c>
      <c r="C818" s="1">
        <v>0.95842756966029896</v>
      </c>
      <c r="D818" s="1">
        <v>0.99676102583389803</v>
      </c>
      <c r="E818" s="1">
        <v>1.00380787361111</v>
      </c>
      <c r="F818" s="1">
        <v>1.00380787361111</v>
      </c>
      <c r="G818" s="1">
        <v>1.00380787361111</v>
      </c>
      <c r="H818">
        <v>749</v>
      </c>
      <c r="I818">
        <v>720</v>
      </c>
      <c r="J818" s="16">
        <f t="shared" si="49"/>
        <v>7.0353836169419837E-3</v>
      </c>
      <c r="K818" s="16">
        <f t="shared" si="50"/>
        <v>4.5208157002753352E-2</v>
      </c>
      <c r="L818" s="16">
        <f t="shared" si="51"/>
        <v>7.0201160625106207E-3</v>
      </c>
      <c r="M818" s="16">
        <f t="shared" si="52"/>
        <v>7.0353836169419837E-3</v>
      </c>
    </row>
    <row r="819" spans="1:13" x14ac:dyDescent="0.3">
      <c r="A819" t="s">
        <v>826</v>
      </c>
      <c r="B819" s="1">
        <v>0.951677545583548</v>
      </c>
      <c r="C819" s="1">
        <v>0.95565110146568399</v>
      </c>
      <c r="D819" s="1">
        <v>0.94720821957479895</v>
      </c>
      <c r="E819" s="1">
        <v>1.0158551899106001</v>
      </c>
      <c r="F819" s="1">
        <v>1.0158551899106001</v>
      </c>
      <c r="G819" s="1">
        <v>1.0158551899106001</v>
      </c>
      <c r="H819">
        <v>901</v>
      </c>
      <c r="I819">
        <v>783</v>
      </c>
      <c r="J819" s="16">
        <f t="shared" si="49"/>
        <v>6.3175977210590428E-2</v>
      </c>
      <c r="K819" s="16">
        <f t="shared" si="50"/>
        <v>5.9264439501671817E-2</v>
      </c>
      <c r="L819" s="16">
        <f t="shared" si="51"/>
        <v>6.7575547201606939E-2</v>
      </c>
      <c r="M819" s="16">
        <f t="shared" si="52"/>
        <v>6.3175977210590428E-2</v>
      </c>
    </row>
    <row r="820" spans="1:13" x14ac:dyDescent="0.3">
      <c r="A820" t="s">
        <v>827</v>
      </c>
      <c r="B820" s="1">
        <v>0.99000877391630504</v>
      </c>
      <c r="C820" s="1">
        <v>0.93221288845601402</v>
      </c>
      <c r="D820" s="1">
        <v>0.96000047550351697</v>
      </c>
      <c r="E820" s="1">
        <v>4.7402856845714298</v>
      </c>
      <c r="F820" s="1">
        <v>4.7402856845714298</v>
      </c>
      <c r="G820" s="1">
        <v>4.7402856845714298</v>
      </c>
      <c r="H820">
        <v>223</v>
      </c>
      <c r="I820">
        <v>175</v>
      </c>
      <c r="J820" s="16">
        <f t="shared" si="49"/>
        <v>0.79114997707025081</v>
      </c>
      <c r="K820" s="16">
        <f t="shared" si="50"/>
        <v>0.80334246699726164</v>
      </c>
      <c r="L820" s="16">
        <f t="shared" si="51"/>
        <v>0.79748046016971008</v>
      </c>
      <c r="M820" s="16">
        <f t="shared" si="52"/>
        <v>0.79748046016971008</v>
      </c>
    </row>
    <row r="821" spans="1:13" x14ac:dyDescent="0.3">
      <c r="A821" t="s">
        <v>828</v>
      </c>
      <c r="B821" s="1">
        <v>0.95427521219001898</v>
      </c>
      <c r="C821" s="1">
        <v>0.953038573757508</v>
      </c>
      <c r="D821" s="1">
        <v>0.960577212389362</v>
      </c>
      <c r="E821" s="1">
        <v>0.97087254213483098</v>
      </c>
      <c r="F821" s="1">
        <v>0.97087254213483098</v>
      </c>
      <c r="G821" s="1">
        <v>0.97087254213483098</v>
      </c>
      <c r="H821">
        <v>395</v>
      </c>
      <c r="I821">
        <v>356</v>
      </c>
      <c r="J821" s="16">
        <f t="shared" si="49"/>
        <v>1.7095271752475855E-2</v>
      </c>
      <c r="K821" s="16">
        <f t="shared" si="50"/>
        <v>1.8369010970387782E-2</v>
      </c>
      <c r="L821" s="16">
        <f t="shared" si="51"/>
        <v>1.0604203228191831E-2</v>
      </c>
      <c r="M821" s="16">
        <f t="shared" si="52"/>
        <v>1.7095271752475855E-2</v>
      </c>
    </row>
    <row r="822" spans="1:13" x14ac:dyDescent="0.3">
      <c r="A822" t="s">
        <v>829</v>
      </c>
      <c r="B822" s="1">
        <v>1.0442491124615001</v>
      </c>
      <c r="C822" s="1">
        <v>1.04423421750319</v>
      </c>
      <c r="D822" s="1">
        <v>1.0439862487649201</v>
      </c>
      <c r="E822" s="1">
        <v>1.0112523116022001</v>
      </c>
      <c r="F822" s="1">
        <v>1.0112523116022001</v>
      </c>
      <c r="G822" s="1">
        <v>1.0112523116022001</v>
      </c>
      <c r="H822">
        <v>181</v>
      </c>
      <c r="I822">
        <v>181</v>
      </c>
      <c r="J822" s="16">
        <f t="shared" si="49"/>
        <v>-3.2629641960492332E-2</v>
      </c>
      <c r="K822" s="16">
        <f t="shared" si="50"/>
        <v>-3.2614912739961317E-2</v>
      </c>
      <c r="L822" s="16">
        <f t="shared" si="51"/>
        <v>-3.236970317611166E-2</v>
      </c>
      <c r="M822" s="16">
        <f t="shared" si="52"/>
        <v>3.2614912739961317E-2</v>
      </c>
    </row>
    <row r="823" spans="1:13" x14ac:dyDescent="0.3">
      <c r="A823" t="s">
        <v>830</v>
      </c>
      <c r="B823" s="1">
        <v>0.952077945554762</v>
      </c>
      <c r="C823" s="1">
        <v>0.94949609034605398</v>
      </c>
      <c r="D823" s="1">
        <v>1.0109500242379801</v>
      </c>
      <c r="E823" s="1">
        <v>0.96209683954619096</v>
      </c>
      <c r="F823" s="1">
        <v>0.96209683954619096</v>
      </c>
      <c r="G823" s="1">
        <v>0.96209683954619096</v>
      </c>
      <c r="H823">
        <v>1376</v>
      </c>
      <c r="I823">
        <v>1234</v>
      </c>
      <c r="J823" s="16">
        <f t="shared" si="49"/>
        <v>1.0413602435441691E-2</v>
      </c>
      <c r="K823" s="16">
        <f t="shared" si="50"/>
        <v>1.3097173467569648E-2</v>
      </c>
      <c r="L823" s="16">
        <f t="shared" si="51"/>
        <v>-5.0777824730026712E-2</v>
      </c>
      <c r="M823" s="16">
        <f t="shared" si="52"/>
        <v>1.0413602435441691E-2</v>
      </c>
    </row>
    <row r="824" spans="1:13" x14ac:dyDescent="0.3">
      <c r="A824" t="s">
        <v>831</v>
      </c>
      <c r="B824" s="1">
        <v>0.90279500315448502</v>
      </c>
      <c r="C824" s="1">
        <v>0.94565155871464801</v>
      </c>
      <c r="D824" s="1">
        <v>0.91510319518973904</v>
      </c>
      <c r="E824" s="1">
        <v>1.0042342378378299</v>
      </c>
      <c r="F824" s="1">
        <v>1.0042342378378299</v>
      </c>
      <c r="G824" s="1">
        <v>1.0042342378378299</v>
      </c>
      <c r="H824">
        <v>577</v>
      </c>
      <c r="I824">
        <v>444</v>
      </c>
      <c r="J824" s="16">
        <f t="shared" si="49"/>
        <v>0.10101152785006516</v>
      </c>
      <c r="K824" s="16">
        <f t="shared" si="50"/>
        <v>5.8335672013447359E-2</v>
      </c>
      <c r="L824" s="16">
        <f t="shared" si="51"/>
        <v>8.8755231886929895E-2</v>
      </c>
      <c r="M824" s="16">
        <f t="shared" si="52"/>
        <v>8.8755231886929895E-2</v>
      </c>
    </row>
    <row r="825" spans="1:13" x14ac:dyDescent="0.3">
      <c r="A825" t="s">
        <v>832</v>
      </c>
      <c r="B825" s="1">
        <v>0.94473619015120402</v>
      </c>
      <c r="C825" s="1">
        <v>0.96075459127701002</v>
      </c>
      <c r="D825" s="1">
        <v>0.96116543377905095</v>
      </c>
      <c r="E825" s="1">
        <v>1.01777329001512</v>
      </c>
      <c r="F825" s="1">
        <v>1.01777329001512</v>
      </c>
      <c r="G825" s="1">
        <v>1.01777329001512</v>
      </c>
      <c r="H825">
        <v>742</v>
      </c>
      <c r="I825">
        <v>661</v>
      </c>
      <c r="J825" s="16">
        <f t="shared" si="49"/>
        <v>7.1761659085031501E-2</v>
      </c>
      <c r="K825" s="16">
        <f t="shared" si="50"/>
        <v>5.6022985961110133E-2</v>
      </c>
      <c r="L825" s="16">
        <f t="shared" si="51"/>
        <v>5.5619317967391391E-2</v>
      </c>
      <c r="M825" s="16">
        <f t="shared" si="52"/>
        <v>5.6022985961110133E-2</v>
      </c>
    </row>
    <row r="826" spans="1:13" x14ac:dyDescent="0.3">
      <c r="A826" t="s">
        <v>833</v>
      </c>
      <c r="B826" s="1">
        <v>0.98438095483353905</v>
      </c>
      <c r="C826" s="1">
        <v>0.91560226957072699</v>
      </c>
      <c r="D826" s="1">
        <v>0.91099900835832803</v>
      </c>
      <c r="E826" s="1">
        <v>1.0051564002801101</v>
      </c>
      <c r="F826" s="1">
        <v>1.0051564002801101</v>
      </c>
      <c r="G826" s="1">
        <v>1.0051564002801101</v>
      </c>
      <c r="H826">
        <v>437</v>
      </c>
      <c r="I826">
        <v>357</v>
      </c>
      <c r="J826" s="16">
        <f t="shared" si="49"/>
        <v>2.0668868487313519E-2</v>
      </c>
      <c r="K826" s="16">
        <f t="shared" si="50"/>
        <v>8.90947226565207E-2</v>
      </c>
      <c r="L826" s="16">
        <f t="shared" si="51"/>
        <v>9.3674369377285904E-2</v>
      </c>
      <c r="M826" s="16">
        <f t="shared" si="52"/>
        <v>8.90947226565207E-2</v>
      </c>
    </row>
    <row r="827" spans="1:13" x14ac:dyDescent="0.3">
      <c r="A827" t="s">
        <v>834</v>
      </c>
      <c r="B827" s="1">
        <v>0.91359944965381201</v>
      </c>
      <c r="C827" s="1">
        <v>0.89944154322515102</v>
      </c>
      <c r="D827" s="1">
        <v>0.92149282067293303</v>
      </c>
      <c r="E827" s="1">
        <v>1.0165784216560501</v>
      </c>
      <c r="F827" s="1">
        <v>1.0165784216560501</v>
      </c>
      <c r="G827" s="1">
        <v>1.0165784216560501</v>
      </c>
      <c r="H827">
        <v>637</v>
      </c>
      <c r="I827">
        <v>471</v>
      </c>
      <c r="J827" s="16">
        <f t="shared" si="49"/>
        <v>0.10129958477230007</v>
      </c>
      <c r="K827" s="16">
        <f t="shared" si="50"/>
        <v>0.11522660321677694</v>
      </c>
      <c r="L827" s="16">
        <f t="shared" si="51"/>
        <v>9.3534939319505211E-2</v>
      </c>
      <c r="M827" s="16">
        <f t="shared" si="52"/>
        <v>0.10129958477230007</v>
      </c>
    </row>
    <row r="828" spans="1:13" x14ac:dyDescent="0.3">
      <c r="A828" t="s">
        <v>835</v>
      </c>
      <c r="B828" s="1">
        <v>1.0001515473472999</v>
      </c>
      <c r="C828" s="1">
        <v>1.0001504695935</v>
      </c>
      <c r="D828" s="1">
        <v>1.0001501307648</v>
      </c>
      <c r="E828" s="1">
        <v>1.0050213717948699</v>
      </c>
      <c r="F828" s="1">
        <v>1.0050213717948699</v>
      </c>
      <c r="G828" s="1">
        <v>1.0050213717948699</v>
      </c>
      <c r="H828">
        <v>351</v>
      </c>
      <c r="I828">
        <v>351</v>
      </c>
      <c r="J828" s="16">
        <f t="shared" si="49"/>
        <v>4.8454934235607084E-3</v>
      </c>
      <c r="K828" s="16">
        <f t="shared" si="50"/>
        <v>4.846565792597058E-3</v>
      </c>
      <c r="L828" s="16">
        <f t="shared" si="51"/>
        <v>4.8469029284127678E-3</v>
      </c>
      <c r="M828" s="16">
        <f t="shared" si="52"/>
        <v>4.846565792597058E-3</v>
      </c>
    </row>
    <row r="829" spans="1:13" x14ac:dyDescent="0.3">
      <c r="A829" t="s">
        <v>836</v>
      </c>
      <c r="B829" s="1">
        <v>1.0040555852914199</v>
      </c>
      <c r="C829" s="1">
        <v>1.0039422060511201</v>
      </c>
      <c r="D829" s="1">
        <v>1.0040827293607399</v>
      </c>
      <c r="E829" s="1">
        <v>0.98498363874345496</v>
      </c>
      <c r="F829" s="1">
        <v>0.98498363874345496</v>
      </c>
      <c r="G829" s="1">
        <v>0.98498363874345496</v>
      </c>
      <c r="H829">
        <v>191</v>
      </c>
      <c r="I829">
        <v>191</v>
      </c>
      <c r="J829" s="16">
        <f t="shared" si="49"/>
        <v>-1.9362703904701468E-2</v>
      </c>
      <c r="K829" s="16">
        <f t="shared" si="50"/>
        <v>-1.9247596164998812E-2</v>
      </c>
      <c r="L829" s="16">
        <f t="shared" si="51"/>
        <v>-1.9390261793231129E-2</v>
      </c>
      <c r="M829" s="16">
        <f t="shared" si="52"/>
        <v>1.9362703904701468E-2</v>
      </c>
    </row>
    <row r="830" spans="1:13" x14ac:dyDescent="0.3">
      <c r="A830" t="s">
        <v>837</v>
      </c>
      <c r="B830" s="1">
        <v>0.97655346674752896</v>
      </c>
      <c r="C830" s="1">
        <v>0.97540916051962501</v>
      </c>
      <c r="D830" s="1">
        <v>0.97314093907269805</v>
      </c>
      <c r="E830" s="1">
        <v>0.89274465935334801</v>
      </c>
      <c r="F830" s="1">
        <v>0.89274465935334801</v>
      </c>
      <c r="G830" s="1">
        <v>0.89274465935334801</v>
      </c>
      <c r="H830">
        <v>885</v>
      </c>
      <c r="I830">
        <v>866</v>
      </c>
      <c r="J830" s="16">
        <f t="shared" si="49"/>
        <v>-9.3877691136105085E-2</v>
      </c>
      <c r="K830" s="16">
        <f t="shared" si="50"/>
        <v>-9.2595906679693071E-2</v>
      </c>
      <c r="L830" s="16">
        <f t="shared" si="51"/>
        <v>-9.0055178574335468E-2</v>
      </c>
      <c r="M830" s="16">
        <f t="shared" si="52"/>
        <v>9.2595906679693071E-2</v>
      </c>
    </row>
    <row r="831" spans="1:13" x14ac:dyDescent="0.3">
      <c r="A831" t="s">
        <v>838</v>
      </c>
      <c r="B831" s="1">
        <v>0.97755800877888999</v>
      </c>
      <c r="C831" s="1">
        <v>1.0250623905023599</v>
      </c>
      <c r="D831" s="1">
        <v>0.97019159485831497</v>
      </c>
      <c r="E831" s="1">
        <v>0.96636814024390205</v>
      </c>
      <c r="F831" s="1">
        <v>0.96636814024390205</v>
      </c>
      <c r="G831" s="1">
        <v>0.96636814024390205</v>
      </c>
      <c r="H831">
        <v>731</v>
      </c>
      <c r="I831">
        <v>656</v>
      </c>
      <c r="J831" s="16">
        <f t="shared" si="49"/>
        <v>-1.1579301995783635E-2</v>
      </c>
      <c r="K831" s="16">
        <f t="shared" si="50"/>
        <v>-6.0736946732995567E-2</v>
      </c>
      <c r="L831" s="16">
        <f t="shared" si="51"/>
        <v>-3.9565197311325993E-3</v>
      </c>
      <c r="M831" s="16">
        <f t="shared" si="52"/>
        <v>1.1579301995783635E-2</v>
      </c>
    </row>
    <row r="832" spans="1:13" x14ac:dyDescent="0.3">
      <c r="A832" t="s">
        <v>839</v>
      </c>
      <c r="B832" s="1">
        <v>1.0084535390304801</v>
      </c>
      <c r="C832" s="1">
        <v>0.94069063223810001</v>
      </c>
      <c r="D832" s="1">
        <v>1.19625853200374</v>
      </c>
      <c r="E832" s="1">
        <v>0.97357947530864197</v>
      </c>
      <c r="F832" s="1">
        <v>0.97357947530864197</v>
      </c>
      <c r="G832" s="1">
        <v>0.97357947530864197</v>
      </c>
      <c r="H832">
        <v>1060</v>
      </c>
      <c r="I832">
        <v>810</v>
      </c>
      <c r="J832" s="16">
        <f t="shared" si="49"/>
        <v>-3.5820459044478524E-2</v>
      </c>
      <c r="K832" s="16">
        <f t="shared" si="50"/>
        <v>3.3781364443940864E-2</v>
      </c>
      <c r="L832" s="16">
        <f t="shared" si="51"/>
        <v>-0.22872201226767316</v>
      </c>
      <c r="M832" s="16">
        <f t="shared" si="52"/>
        <v>3.5820459044478524E-2</v>
      </c>
    </row>
    <row r="833" spans="1:14" x14ac:dyDescent="0.3">
      <c r="A833" t="s">
        <v>840</v>
      </c>
      <c r="B833" s="1">
        <v>0.97944483072575905</v>
      </c>
      <c r="C833" s="1">
        <v>0.96805281530922604</v>
      </c>
      <c r="D833" s="1">
        <v>0.92758818361701001</v>
      </c>
      <c r="E833" s="1">
        <v>1.0049777076923001</v>
      </c>
      <c r="F833" s="1">
        <v>1.0049777076923001</v>
      </c>
      <c r="G833" s="1">
        <v>1.0049777076923001</v>
      </c>
      <c r="H833">
        <v>348</v>
      </c>
      <c r="I833">
        <v>299</v>
      </c>
      <c r="J833" s="16">
        <f t="shared" si="49"/>
        <v>2.5406411277690354E-2</v>
      </c>
      <c r="K833" s="16">
        <f t="shared" si="50"/>
        <v>3.6742001439876285E-2</v>
      </c>
      <c r="L833" s="16">
        <f t="shared" si="51"/>
        <v>7.7006209673045695E-2</v>
      </c>
      <c r="M833" s="16">
        <f t="shared" si="52"/>
        <v>3.6742001439876285E-2</v>
      </c>
    </row>
    <row r="834" spans="1:14" x14ac:dyDescent="0.3">
      <c r="A834" t="s">
        <v>841</v>
      </c>
      <c r="B834" s="1">
        <v>1.00684185800976</v>
      </c>
      <c r="C834" s="1">
        <v>1.00545329225346</v>
      </c>
      <c r="D834" s="1">
        <v>1.00684185798001</v>
      </c>
      <c r="E834" s="1">
        <v>1.0058425464088301</v>
      </c>
      <c r="F834" s="1">
        <v>1.0058425464088301</v>
      </c>
      <c r="G834" s="1">
        <v>1.0058425464088301</v>
      </c>
      <c r="H834">
        <v>725</v>
      </c>
      <c r="I834">
        <v>724</v>
      </c>
      <c r="J834" s="16">
        <f t="shared" si="49"/>
        <v>-9.9350699023199223E-4</v>
      </c>
      <c r="K834" s="16">
        <f t="shared" si="50"/>
        <v>3.8699313004785272E-4</v>
      </c>
      <c r="L834" s="16">
        <f t="shared" si="51"/>
        <v>-9.9350696065481797E-4</v>
      </c>
      <c r="M834" s="16">
        <f t="shared" si="52"/>
        <v>9.9350696065481797E-4</v>
      </c>
    </row>
    <row r="835" spans="1:14" x14ac:dyDescent="0.3">
      <c r="A835" t="s">
        <v>842</v>
      </c>
      <c r="B835" s="1">
        <v>0.99929298775030895</v>
      </c>
      <c r="C835" s="1">
        <v>0.99929274554635095</v>
      </c>
      <c r="D835" s="1">
        <v>0.99929215615266098</v>
      </c>
      <c r="E835" s="1">
        <v>1.0105179117647001</v>
      </c>
      <c r="F835" s="1">
        <v>1.0105179117647001</v>
      </c>
      <c r="G835" s="1">
        <v>1.0105179117647001</v>
      </c>
      <c r="H835">
        <v>391</v>
      </c>
      <c r="I835">
        <v>391</v>
      </c>
      <c r="J835" s="16">
        <f t="shared" ref="J835:J837" si="53">(E835-B835)/E835</f>
        <v>1.1108090102815374E-2</v>
      </c>
      <c r="K835" s="16">
        <f t="shared" ref="K835:K837" si="54">(F835-C835)/F835</f>
        <v>1.1108329785808798E-2</v>
      </c>
      <c r="L835" s="16">
        <f t="shared" ref="L835:L837" si="55">(G835-D835)/G835</f>
        <v>1.1108913044831824E-2</v>
      </c>
      <c r="M835" s="16">
        <f t="shared" ref="M835:M837" si="56">ABS(MEDIAN(J835:L835))</f>
        <v>1.1108329785808798E-2</v>
      </c>
    </row>
    <row r="836" spans="1:14" x14ac:dyDescent="0.3">
      <c r="A836" t="s">
        <v>843</v>
      </c>
      <c r="B836" s="1">
        <v>0.98095580236678104</v>
      </c>
      <c r="C836" s="1">
        <v>0.98036753348883698</v>
      </c>
      <c r="D836" s="1">
        <v>0.98271655851504403</v>
      </c>
      <c r="E836" s="1">
        <v>1.0109500779870499</v>
      </c>
      <c r="F836" s="1">
        <v>1.0109500779870499</v>
      </c>
      <c r="G836" s="1">
        <v>1.0109500779870499</v>
      </c>
      <c r="H836">
        <v>1706</v>
      </c>
      <c r="I836">
        <v>1699</v>
      </c>
      <c r="J836" s="16">
        <f t="shared" si="53"/>
        <v>2.9669393448182837E-2</v>
      </c>
      <c r="K836" s="16">
        <f t="shared" si="54"/>
        <v>3.0251290507942091E-2</v>
      </c>
      <c r="L836" s="16">
        <f t="shared" si="55"/>
        <v>2.7927708881751116E-2</v>
      </c>
      <c r="M836" s="16">
        <f t="shared" si="56"/>
        <v>2.9669393448182837E-2</v>
      </c>
    </row>
    <row r="837" spans="1:14" ht="15" thickBot="1" x14ac:dyDescent="0.35">
      <c r="A837" t="s">
        <v>844</v>
      </c>
      <c r="B837" s="1">
        <v>0.980838753371717</v>
      </c>
      <c r="C837" s="1">
        <v>0.97802155425467996</v>
      </c>
      <c r="D837" s="1">
        <v>0.97979936882419105</v>
      </c>
      <c r="E837" s="1">
        <v>1.0058870193251499</v>
      </c>
      <c r="F837" s="1">
        <v>1.0058870193251499</v>
      </c>
      <c r="G837" s="1">
        <v>1.0058870193251499</v>
      </c>
      <c r="H837">
        <v>1045</v>
      </c>
      <c r="I837">
        <v>978</v>
      </c>
      <c r="J837" s="16">
        <f t="shared" si="53"/>
        <v>2.4901669344771737E-2</v>
      </c>
      <c r="K837" s="16">
        <f t="shared" si="54"/>
        <v>2.7702380620404959E-2</v>
      </c>
      <c r="L837" s="16">
        <f t="shared" si="55"/>
        <v>2.5934970826506008E-2</v>
      </c>
      <c r="M837" s="16">
        <f t="shared" si="56"/>
        <v>2.5934970826506008E-2</v>
      </c>
    </row>
    <row r="838" spans="1:14" ht="15" thickBot="1" x14ac:dyDescent="0.35">
      <c r="A838" t="s">
        <v>845</v>
      </c>
      <c r="B838" s="1">
        <v>0.94285174920381098</v>
      </c>
      <c r="C838" s="1">
        <v>0.93344880577822997</v>
      </c>
      <c r="D838" s="1">
        <v>0.94493274018496298</v>
      </c>
      <c r="E838" s="1">
        <v>1.00470000399999</v>
      </c>
      <c r="F838" s="1">
        <v>1.00470000399999</v>
      </c>
      <c r="G838" s="1">
        <v>1.00470000399999</v>
      </c>
      <c r="H838">
        <v>759</v>
      </c>
      <c r="I838">
        <v>625</v>
      </c>
      <c r="J838" s="23" t="s">
        <v>852</v>
      </c>
      <c r="K838" s="24"/>
      <c r="L838" s="25"/>
      <c r="M838" s="16"/>
    </row>
    <row r="839" spans="1:14" x14ac:dyDescent="0.3">
      <c r="A839" t="s">
        <v>846</v>
      </c>
      <c r="B839" s="1">
        <v>1.0146140129479999</v>
      </c>
      <c r="C839" s="1">
        <v>1.02282909081361</v>
      </c>
      <c r="D839" s="1">
        <v>1.0154405246201501</v>
      </c>
      <c r="E839" s="1">
        <v>1.0111091003636301</v>
      </c>
      <c r="F839" s="1">
        <v>1.0111091003636301</v>
      </c>
      <c r="G839" s="1">
        <v>1.0111091003636301</v>
      </c>
      <c r="H839">
        <v>275</v>
      </c>
      <c r="I839">
        <v>275</v>
      </c>
      <c r="J839" s="4" t="s">
        <v>848</v>
      </c>
      <c r="K839" s="5" t="s">
        <v>849</v>
      </c>
      <c r="L839" s="6" t="s">
        <v>850</v>
      </c>
      <c r="M839" s="16"/>
    </row>
    <row r="840" spans="1:14" ht="15" thickBot="1" x14ac:dyDescent="0.35">
      <c r="A840" s="3" t="s">
        <v>847</v>
      </c>
      <c r="B840" s="1">
        <f>MEDIAN(B2:B839)</f>
        <v>0.99380130843541448</v>
      </c>
      <c r="C840" s="1">
        <f t="shared" ref="C840:G840" si="57">MEDIAN(C2:C839)</f>
        <v>0.98858173157094198</v>
      </c>
      <c r="D840" s="1">
        <f t="shared" si="57"/>
        <v>0.98988579528856302</v>
      </c>
      <c r="E840" s="1">
        <f t="shared" si="57"/>
        <v>1.0049647929577401</v>
      </c>
      <c r="F840" s="1">
        <f t="shared" si="57"/>
        <v>1.0049647929577401</v>
      </c>
      <c r="G840" s="1">
        <f t="shared" si="57"/>
        <v>1.0049647929577401</v>
      </c>
      <c r="J840" s="7">
        <f>(E840-B840)/E840</f>
        <v>1.1108333944187303E-2</v>
      </c>
      <c r="K840" s="8">
        <f t="shared" ref="K840:L840" si="58">(F840-C840)/F840</f>
        <v>1.6302124712827677E-2</v>
      </c>
      <c r="L840" s="9">
        <f t="shared" si="58"/>
        <v>1.5004503416281543E-2</v>
      </c>
      <c r="M840" s="16"/>
    </row>
    <row r="841" spans="1:14" x14ac:dyDescent="0.3">
      <c r="J841" t="s">
        <v>851</v>
      </c>
      <c r="M841" s="16"/>
    </row>
    <row r="845" spans="1:14" ht="15" thickBot="1" x14ac:dyDescent="0.35">
      <c r="I845" s="3" t="s">
        <v>856</v>
      </c>
      <c r="J845" s="17">
        <v>0.01</v>
      </c>
      <c r="K845" s="17">
        <v>0.02</v>
      </c>
      <c r="L845" s="18" t="s">
        <v>853</v>
      </c>
      <c r="M845" s="18" t="s">
        <v>854</v>
      </c>
      <c r="N845" s="18" t="s">
        <v>855</v>
      </c>
    </row>
    <row r="846" spans="1:14" ht="15" thickBot="1" x14ac:dyDescent="0.35">
      <c r="B846" s="13" t="s">
        <v>0</v>
      </c>
      <c r="C846" s="14" t="s">
        <v>1</v>
      </c>
      <c r="D846" s="14" t="s">
        <v>2</v>
      </c>
      <c r="E846" s="14" t="s">
        <v>4</v>
      </c>
      <c r="F846" s="14" t="s">
        <v>5</v>
      </c>
      <c r="G846" s="15" t="s">
        <v>6</v>
      </c>
      <c r="I846" s="3" t="s">
        <v>857</v>
      </c>
      <c r="J846" s="19">
        <f>COUNTIF(M2:M837,"&lt;0.019")</f>
        <v>350</v>
      </c>
      <c r="K846" s="19">
        <f>COUNTIFS(M2:M837,"&gt;0.019",M2:M837,"&lt;.03")</f>
        <v>109</v>
      </c>
      <c r="L846" s="19">
        <f>COUNTIFS(M2:M837,"&gt;0.03",M2:M837,"&lt;.049")</f>
        <v>135</v>
      </c>
      <c r="M846" s="19">
        <f>COUNTIF(M2:M837,"&gt;0.05")</f>
        <v>236</v>
      </c>
      <c r="N846" s="19">
        <f>SUM(J846:M846)</f>
        <v>830</v>
      </c>
    </row>
    <row r="847" spans="1:14" ht="15" thickBot="1" x14ac:dyDescent="0.35">
      <c r="B847" s="10">
        <v>0.99380130843541448</v>
      </c>
      <c r="C847" s="11">
        <v>0.98858173157094198</v>
      </c>
      <c r="D847" s="11">
        <v>0.98988579528856302</v>
      </c>
      <c r="E847" s="11">
        <v>1.0049647929577401</v>
      </c>
      <c r="F847" s="11">
        <v>1.0049647929577401</v>
      </c>
      <c r="G847" s="12">
        <v>1.0049647929577401</v>
      </c>
    </row>
    <row r="877" spans="10:10" x14ac:dyDescent="0.3">
      <c r="J877" s="20" t="s">
        <v>858</v>
      </c>
    </row>
    <row r="880" spans="10:10" x14ac:dyDescent="0.3">
      <c r="J880" s="22" t="s">
        <v>859</v>
      </c>
    </row>
    <row r="881" spans="10:12" x14ac:dyDescent="0.3">
      <c r="J881" s="3" t="s">
        <v>863</v>
      </c>
      <c r="K881" s="21">
        <v>188002</v>
      </c>
      <c r="L881" t="s">
        <v>864</v>
      </c>
    </row>
    <row r="882" spans="10:12" x14ac:dyDescent="0.3">
      <c r="J882" s="3" t="s">
        <v>862</v>
      </c>
      <c r="K882" s="21">
        <v>16602</v>
      </c>
    </row>
    <row r="883" spans="10:12" x14ac:dyDescent="0.3">
      <c r="J883" s="3" t="s">
        <v>861</v>
      </c>
      <c r="K883" s="21">
        <v>16581</v>
      </c>
      <c r="L883" t="s">
        <v>864</v>
      </c>
    </row>
    <row r="884" spans="10:12" x14ac:dyDescent="0.3">
      <c r="J884" s="3" t="s">
        <v>860</v>
      </c>
      <c r="K884" s="21">
        <v>16</v>
      </c>
    </row>
  </sheetData>
  <autoFilter ref="A1:I839" xr:uid="{1FF6EBFC-D529-401C-B64F-4EB365D21BFC}"/>
  <mergeCells count="1">
    <mergeCell ref="J838:L8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mc_vs_cyme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Gonzales, Frank</cp:lastModifiedBy>
  <dcterms:created xsi:type="dcterms:W3CDTF">2026-03-14T23:12:43Z</dcterms:created>
  <dcterms:modified xsi:type="dcterms:W3CDTF">2026-03-16T17:42:08Z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74fa5a-ade0-44e4-85ca-ecf9ffe0a52a_Enabled">
    <vt:lpwstr>true</vt:lpwstr>
  </property>
  <property fmtid="{D5CDD505-2E9C-101B-9397-08002B2CF9AE}" pid="3" name="MSIP_Label_0974fa5a-ade0-44e4-85ca-ecf9ffe0a52a_SetDate">
    <vt:lpwstr>2026-03-14T23:12:43Z</vt:lpwstr>
  </property>
  <property fmtid="{D5CDD505-2E9C-101B-9397-08002B2CF9AE}" pid="4" name="MSIP_Label_0974fa5a-ade0-44e4-85ca-ecf9ffe0a52a_Method">
    <vt:lpwstr>Privileged</vt:lpwstr>
  </property>
  <property fmtid="{D5CDD505-2E9C-101B-9397-08002B2CF9AE}" pid="5" name="MSIP_Label_0974fa5a-ade0-44e4-85ca-ecf9ffe0a52a_Name">
    <vt:lpwstr>Internal Use</vt:lpwstr>
  </property>
  <property fmtid="{D5CDD505-2E9C-101B-9397-08002B2CF9AE}" pid="6" name="MSIP_Label_0974fa5a-ade0-44e4-85ca-ecf9ffe0a52a_SiteId">
    <vt:lpwstr>5818bd20-bf25-47b1-b996-d419d7e6e8ba</vt:lpwstr>
  </property>
  <property fmtid="{D5CDD505-2E9C-101B-9397-08002B2CF9AE}" pid="7" name="MSIP_Label_0974fa5a-ade0-44e4-85ca-ecf9ffe0a52a_ActionId">
    <vt:lpwstr>db5aaa0f-d213-4f5d-9d38-977ec0bb7a88</vt:lpwstr>
  </property>
  <property fmtid="{D5CDD505-2E9C-101B-9397-08002B2CF9AE}" pid="8" name="MSIP_Label_0974fa5a-ade0-44e4-85ca-ecf9ffe0a52a_ContentBits">
    <vt:lpwstr>0</vt:lpwstr>
  </property>
  <property fmtid="{D5CDD505-2E9C-101B-9397-08002B2CF9AE}" pid="9" name="MSIP_Label_0974fa5a-ade0-44e4-85ca-ecf9ffe0a52a_Tag">
    <vt:lpwstr>10, 0, 1, 1</vt:lpwstr>
  </property>
</Properties>
</file>